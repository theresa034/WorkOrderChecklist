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tables/table28.xml" ContentType="application/vnd.openxmlformats-officedocument.spreadsheetml.table+xml"/>
  <Override PartName="/xl/drawings/drawing1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2.xml" ContentType="application/vnd.openxmlformats-officedocument.drawing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resag\Documents\GitHub\pmtoolkit\"/>
    </mc:Choice>
  </mc:AlternateContent>
  <bookViews>
    <workbookView xWindow="0" yWindow="0" windowWidth="28800" windowHeight="12210" activeTab="7"/>
  </bookViews>
  <sheets>
    <sheet name="DocInfo" sheetId="7" r:id="rId1"/>
    <sheet name="Pricing" sheetId="8" r:id="rId2"/>
    <sheet name="ClientServices" sheetId="15" r:id="rId3"/>
    <sheet name="Quoting" sheetId="14" r:id="rId4"/>
    <sheet name="DiscountLevels" sheetId="9" state="hidden" r:id="rId5"/>
    <sheet name="PrintingEnv" sheetId="13" r:id="rId6"/>
    <sheet name="TablesAndCalcsEnv" sheetId="12" state="hidden" r:id="rId7"/>
    <sheet name="Printing" sheetId="1" r:id="rId8"/>
    <sheet name="TablesAndCalcsPrinting" sheetId="2" state="hidden" r:id="rId9"/>
    <sheet name="HousePapers" sheetId="3" r:id="rId10"/>
    <sheet name="SpecialPricing-Dartmouth" sheetId="17" r:id="rId11"/>
    <sheet name="SpecialPricing-Other" sheetId="18" r:id="rId12"/>
  </sheets>
  <functionGroups builtInGroupCount="18"/>
  <externalReferences>
    <externalReference r:id="rId13"/>
  </externalReferences>
  <definedNames>
    <definedName name="_xlnm._FilterDatabase" localSheetId="2" hidden="1">ClientServices!$A$16:$R$48</definedName>
    <definedName name="_xlnm._FilterDatabase" localSheetId="1" hidden="1">Pricing!$A$2:$L$2</definedName>
    <definedName name="_xlnm.Print_Area" localSheetId="1">Pricing!$A$2:$O$263</definedName>
    <definedName name="_xlnm.Print_Area" localSheetId="7">Printing!$A$1:$F$29</definedName>
    <definedName name="_xlnm.Print_Area" localSheetId="5">PrintingEnv!$A$1:$F$24</definedName>
    <definedName name="_xlnm.Print_Area" localSheetId="3">Quoting!$A$1:$F$173</definedName>
    <definedName name="_xlnm.Print_Area" localSheetId="6">TablesAndCalcsEnv!$A$1:$AS$28</definedName>
    <definedName name="_xlnm.Print_Area" localSheetId="8">TablesAndCalcsPrinting!$A$1:$BT$77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K53" i="8" l="1"/>
  <c r="E149" i="14" l="1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C149" i="14"/>
  <c r="C150" i="14"/>
  <c r="C151" i="14"/>
  <c r="C152" i="14"/>
  <c r="C153" i="14"/>
  <c r="C154" i="14"/>
  <c r="F154" i="14" s="1"/>
  <c r="C155" i="14"/>
  <c r="C156" i="14"/>
  <c r="C157" i="14"/>
  <c r="C158" i="14"/>
  <c r="C159" i="14"/>
  <c r="C160" i="14"/>
  <c r="C161" i="14"/>
  <c r="C162" i="14"/>
  <c r="F162" i="14" s="1"/>
  <c r="C163" i="14"/>
  <c r="C164" i="14"/>
  <c r="C165" i="14"/>
  <c r="C166" i="14"/>
  <c r="C167" i="14"/>
  <c r="F167" i="14" s="1"/>
  <c r="C168" i="14"/>
  <c r="C169" i="14"/>
  <c r="C170" i="14"/>
  <c r="F170" i="14" s="1"/>
  <c r="C171" i="14"/>
  <c r="C172" i="14"/>
  <c r="C173" i="14"/>
  <c r="E131" i="14"/>
  <c r="E132" i="14"/>
  <c r="E134" i="14"/>
  <c r="E135" i="14"/>
  <c r="E136" i="14"/>
  <c r="E137" i="14"/>
  <c r="E138" i="14"/>
  <c r="E139" i="14"/>
  <c r="E140" i="14"/>
  <c r="E141" i="14"/>
  <c r="E142" i="14"/>
  <c r="E143" i="14"/>
  <c r="C131" i="14"/>
  <c r="C132" i="14"/>
  <c r="C134" i="14"/>
  <c r="C135" i="14"/>
  <c r="C136" i="14"/>
  <c r="C137" i="14"/>
  <c r="C138" i="14"/>
  <c r="C139" i="14"/>
  <c r="C140" i="14"/>
  <c r="C141" i="14"/>
  <c r="C142" i="14"/>
  <c r="C143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78" i="14"/>
  <c r="E79" i="14"/>
  <c r="E80" i="14"/>
  <c r="E81" i="14"/>
  <c r="E82" i="14"/>
  <c r="E83" i="14"/>
  <c r="E84" i="14"/>
  <c r="E85" i="14"/>
  <c r="E86" i="14"/>
  <c r="E87" i="14"/>
  <c r="F87" i="14" s="1"/>
  <c r="E88" i="14"/>
  <c r="C101" i="14"/>
  <c r="C102" i="14"/>
  <c r="C103" i="14"/>
  <c r="C104" i="14"/>
  <c r="C105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5" i="14"/>
  <c r="C126" i="14"/>
  <c r="C127" i="14"/>
  <c r="C96" i="14"/>
  <c r="F96" i="14" s="1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94" i="14"/>
  <c r="C93" i="14"/>
  <c r="C92" i="14"/>
  <c r="C95" i="14"/>
  <c r="C124" i="14"/>
  <c r="E101" i="14"/>
  <c r="C106" i="14"/>
  <c r="C100" i="14"/>
  <c r="C36" i="14"/>
  <c r="C35" i="14"/>
  <c r="E100" i="14"/>
  <c r="E77" i="14"/>
  <c r="E76" i="14"/>
  <c r="C147" i="14"/>
  <c r="E133" i="14"/>
  <c r="C133" i="14"/>
  <c r="E75" i="14"/>
  <c r="E148" i="14"/>
  <c r="E74" i="14"/>
  <c r="C148" i="14"/>
  <c r="E147" i="14"/>
  <c r="F159" i="14" l="1"/>
  <c r="F166" i="14"/>
  <c r="F158" i="14"/>
  <c r="F151" i="14"/>
  <c r="F127" i="14"/>
  <c r="F141" i="14"/>
  <c r="F171" i="14"/>
  <c r="F163" i="14"/>
  <c r="F155" i="14"/>
  <c r="F143" i="14"/>
  <c r="F135" i="14"/>
  <c r="F142" i="14"/>
  <c r="F150" i="14"/>
  <c r="F134" i="14"/>
  <c r="F172" i="14"/>
  <c r="F147" i="14"/>
  <c r="F133" i="14"/>
  <c r="F137" i="14"/>
  <c r="F140" i="14"/>
  <c r="F169" i="14"/>
  <c r="F161" i="14"/>
  <c r="F153" i="14"/>
  <c r="F136" i="14"/>
  <c r="F95" i="14"/>
  <c r="F92" i="14"/>
  <c r="F93" i="14"/>
  <c r="F94" i="14"/>
  <c r="F138" i="14"/>
  <c r="F164" i="14"/>
  <c r="F156" i="14"/>
  <c r="F148" i="14"/>
  <c r="F132" i="14"/>
  <c r="F139" i="14"/>
  <c r="F131" i="14"/>
  <c r="F173" i="14"/>
  <c r="F165" i="14"/>
  <c r="F157" i="14"/>
  <c r="F149" i="14"/>
  <c r="F168" i="14"/>
  <c r="F160" i="14"/>
  <c r="F152" i="14"/>
  <c r="F117" i="14"/>
  <c r="F109" i="14"/>
  <c r="F123" i="14"/>
  <c r="F115" i="14"/>
  <c r="F107" i="14"/>
  <c r="F114" i="14"/>
  <c r="F121" i="14"/>
  <c r="F113" i="14"/>
  <c r="F105" i="14"/>
  <c r="F122" i="14"/>
  <c r="F106" i="14"/>
  <c r="F120" i="14"/>
  <c r="F112" i="14"/>
  <c r="F104" i="14"/>
  <c r="F119" i="14"/>
  <c r="F111" i="14"/>
  <c r="F103" i="14"/>
  <c r="F126" i="14"/>
  <c r="F118" i="14"/>
  <c r="F110" i="14"/>
  <c r="F102" i="14"/>
  <c r="F125" i="14"/>
  <c r="F101" i="14"/>
  <c r="F124" i="14"/>
  <c r="F116" i="14"/>
  <c r="F108" i="14"/>
  <c r="F100" i="14"/>
  <c r="F77" i="14"/>
  <c r="F78" i="14"/>
  <c r="F79" i="14"/>
  <c r="F81" i="14"/>
  <c r="F82" i="14"/>
  <c r="F83" i="14"/>
  <c r="F84" i="14"/>
  <c r="F85" i="14"/>
  <c r="F86" i="14"/>
  <c r="F88" i="14"/>
  <c r="F76" i="14" l="1"/>
  <c r="F74" i="14"/>
  <c r="F75" i="14"/>
  <c r="F80" i="14"/>
  <c r="H53" i="8"/>
  <c r="H54" i="8"/>
  <c r="H55" i="8"/>
  <c r="H56" i="8"/>
  <c r="H57" i="8"/>
  <c r="H58" i="8"/>
  <c r="H59" i="8"/>
  <c r="I53" i="8"/>
  <c r="I54" i="8"/>
  <c r="F41" i="14" l="1"/>
  <c r="F71" i="14"/>
  <c r="F63" i="14"/>
  <c r="F55" i="14"/>
  <c r="F47" i="14"/>
  <c r="F40" i="14"/>
  <c r="F49" i="14"/>
  <c r="F48" i="14"/>
  <c r="F70" i="14"/>
  <c r="F62" i="14"/>
  <c r="F54" i="14"/>
  <c r="F39" i="14"/>
  <c r="F42" i="14"/>
  <c r="F64" i="14"/>
  <c r="F69" i="14"/>
  <c r="F61" i="14"/>
  <c r="F53" i="14"/>
  <c r="F46" i="14"/>
  <c r="F38" i="14"/>
  <c r="F57" i="14"/>
  <c r="F68" i="14"/>
  <c r="F60" i="14"/>
  <c r="F52" i="14"/>
  <c r="F45" i="14"/>
  <c r="F37" i="14"/>
  <c r="F65" i="14"/>
  <c r="F56" i="14"/>
  <c r="F67" i="14"/>
  <c r="F59" i="14"/>
  <c r="F51" i="14"/>
  <c r="F44" i="14"/>
  <c r="F36" i="14"/>
  <c r="F66" i="14"/>
  <c r="F58" i="14"/>
  <c r="F50" i="14"/>
  <c r="F43" i="14"/>
  <c r="F35" i="14"/>
  <c r="K1048542" i="15"/>
  <c r="J1048542" i="15"/>
  <c r="I1048542" i="15"/>
  <c r="C14" i="13"/>
  <c r="F20" i="13"/>
  <c r="E11" i="13"/>
  <c r="E17" i="13"/>
  <c r="D14" i="13"/>
  <c r="E23" i="13"/>
  <c r="B23" i="13"/>
  <c r="C11" i="13"/>
  <c r="D23" i="13"/>
  <c r="D11" i="13"/>
  <c r="B20" i="13"/>
  <c r="C23" i="13"/>
  <c r="F23" i="13"/>
  <c r="F11" i="13"/>
  <c r="B17" i="13"/>
  <c r="F17" i="13"/>
  <c r="B14" i="13"/>
  <c r="C17" i="13"/>
  <c r="C20" i="13"/>
  <c r="D20" i="13"/>
  <c r="F14" i="13"/>
  <c r="E14" i="13"/>
  <c r="B11" i="13"/>
  <c r="E20" i="13"/>
  <c r="D17" i="13"/>
  <c r="B16" i="1"/>
  <c r="F12" i="13" l="1"/>
  <c r="B12" i="13"/>
  <c r="C12" i="13"/>
  <c r="E15" i="13"/>
  <c r="B17" i="1"/>
  <c r="D12" i="13"/>
  <c r="E12" i="13"/>
  <c r="B15" i="13"/>
  <c r="D15" i="13"/>
  <c r="F15" i="13"/>
  <c r="C15" i="13"/>
  <c r="C24" i="13"/>
  <c r="D24" i="13"/>
  <c r="F24" i="13"/>
  <c r="B24" i="13"/>
  <c r="E24" i="13"/>
  <c r="B21" i="13"/>
  <c r="C21" i="13"/>
  <c r="D21" i="13"/>
  <c r="E21" i="13"/>
  <c r="F21" i="13"/>
  <c r="B18" i="13"/>
  <c r="C18" i="13"/>
  <c r="D18" i="13"/>
  <c r="E18" i="13"/>
  <c r="F18" i="13"/>
  <c r="E164" i="8" l="1"/>
  <c r="F164" i="8"/>
  <c r="G164" i="8"/>
  <c r="H164" i="8"/>
  <c r="I164" i="8"/>
  <c r="J164" i="8"/>
  <c r="K164" i="8"/>
  <c r="L164" i="8"/>
  <c r="M164" i="8"/>
  <c r="N164" i="8"/>
  <c r="E165" i="8"/>
  <c r="F165" i="8"/>
  <c r="G165" i="8"/>
  <c r="H165" i="8"/>
  <c r="I165" i="8"/>
  <c r="J165" i="8"/>
  <c r="K165" i="8"/>
  <c r="L165" i="8"/>
  <c r="M165" i="8"/>
  <c r="N165" i="8"/>
  <c r="E166" i="8"/>
  <c r="F166" i="8"/>
  <c r="G166" i="8"/>
  <c r="H166" i="8"/>
  <c r="I166" i="8"/>
  <c r="J166" i="8"/>
  <c r="K166" i="8"/>
  <c r="L166" i="8"/>
  <c r="M166" i="8"/>
  <c r="N166" i="8"/>
  <c r="E167" i="8"/>
  <c r="F167" i="8"/>
  <c r="G167" i="8"/>
  <c r="H167" i="8"/>
  <c r="I167" i="8"/>
  <c r="J167" i="8"/>
  <c r="K167" i="8"/>
  <c r="L167" i="8"/>
  <c r="M167" i="8"/>
  <c r="N167" i="8"/>
  <c r="E168" i="8"/>
  <c r="F168" i="8"/>
  <c r="G168" i="8"/>
  <c r="H168" i="8"/>
  <c r="I168" i="8"/>
  <c r="J168" i="8"/>
  <c r="K168" i="8"/>
  <c r="L168" i="8"/>
  <c r="M168" i="8"/>
  <c r="N168" i="8"/>
  <c r="N163" i="8"/>
  <c r="M163" i="8"/>
  <c r="L163" i="8"/>
  <c r="K163" i="8"/>
  <c r="J163" i="8"/>
  <c r="I163" i="8"/>
  <c r="H163" i="8"/>
  <c r="G163" i="8"/>
  <c r="F163" i="8"/>
  <c r="E163" i="8"/>
  <c r="E128" i="8"/>
  <c r="F128" i="8"/>
  <c r="G128" i="8"/>
  <c r="H128" i="8"/>
  <c r="I128" i="8"/>
  <c r="J128" i="8"/>
  <c r="K128" i="8"/>
  <c r="L128" i="8"/>
  <c r="M128" i="8"/>
  <c r="N128" i="8"/>
  <c r="E129" i="8"/>
  <c r="F129" i="8"/>
  <c r="G129" i="8"/>
  <c r="H129" i="8"/>
  <c r="I129" i="8"/>
  <c r="J129" i="8"/>
  <c r="K129" i="8"/>
  <c r="L129" i="8"/>
  <c r="M129" i="8"/>
  <c r="N129" i="8"/>
  <c r="E130" i="8"/>
  <c r="F130" i="8"/>
  <c r="G130" i="8"/>
  <c r="H130" i="8"/>
  <c r="I130" i="8"/>
  <c r="J130" i="8"/>
  <c r="K130" i="8"/>
  <c r="L130" i="8"/>
  <c r="M130" i="8"/>
  <c r="N130" i="8"/>
  <c r="E131" i="8"/>
  <c r="F131" i="8"/>
  <c r="G131" i="8"/>
  <c r="H131" i="8"/>
  <c r="I131" i="8"/>
  <c r="J131" i="8"/>
  <c r="K131" i="8"/>
  <c r="L131" i="8"/>
  <c r="M131" i="8"/>
  <c r="N131" i="8"/>
  <c r="E132" i="8"/>
  <c r="F132" i="8"/>
  <c r="G132" i="8"/>
  <c r="H132" i="8"/>
  <c r="I132" i="8"/>
  <c r="J132" i="8"/>
  <c r="K132" i="8"/>
  <c r="L132" i="8"/>
  <c r="M132" i="8"/>
  <c r="N132" i="8"/>
  <c r="E133" i="8"/>
  <c r="F133" i="8"/>
  <c r="G133" i="8"/>
  <c r="H133" i="8"/>
  <c r="I133" i="8"/>
  <c r="J133" i="8"/>
  <c r="K133" i="8"/>
  <c r="L133" i="8"/>
  <c r="M133" i="8"/>
  <c r="N133" i="8"/>
  <c r="E134" i="8"/>
  <c r="F134" i="8"/>
  <c r="G134" i="8"/>
  <c r="H134" i="8"/>
  <c r="I134" i="8"/>
  <c r="J134" i="8"/>
  <c r="K134" i="8"/>
  <c r="L134" i="8"/>
  <c r="M134" i="8"/>
  <c r="N134" i="8"/>
  <c r="E135" i="8"/>
  <c r="F135" i="8"/>
  <c r="G135" i="8"/>
  <c r="H135" i="8"/>
  <c r="I135" i="8"/>
  <c r="J135" i="8"/>
  <c r="K135" i="8"/>
  <c r="L135" i="8"/>
  <c r="M135" i="8"/>
  <c r="N135" i="8"/>
  <c r="E136" i="8"/>
  <c r="F136" i="8"/>
  <c r="G136" i="8"/>
  <c r="H136" i="8"/>
  <c r="I136" i="8"/>
  <c r="J136" i="8"/>
  <c r="K136" i="8"/>
  <c r="L136" i="8"/>
  <c r="M136" i="8"/>
  <c r="N136" i="8"/>
  <c r="E137" i="8"/>
  <c r="F137" i="8"/>
  <c r="G137" i="8"/>
  <c r="H137" i="8"/>
  <c r="I137" i="8"/>
  <c r="J137" i="8"/>
  <c r="K137" i="8"/>
  <c r="L137" i="8"/>
  <c r="M137" i="8"/>
  <c r="N137" i="8"/>
  <c r="E138" i="8"/>
  <c r="F138" i="8"/>
  <c r="G138" i="8"/>
  <c r="H138" i="8"/>
  <c r="I138" i="8"/>
  <c r="J138" i="8"/>
  <c r="K138" i="8"/>
  <c r="L138" i="8"/>
  <c r="M138" i="8"/>
  <c r="N138" i="8"/>
  <c r="E139" i="8"/>
  <c r="F139" i="8"/>
  <c r="G139" i="8"/>
  <c r="H139" i="8"/>
  <c r="I139" i="8"/>
  <c r="J139" i="8"/>
  <c r="K139" i="8"/>
  <c r="L139" i="8"/>
  <c r="M139" i="8"/>
  <c r="N139" i="8"/>
  <c r="E140" i="8"/>
  <c r="F140" i="8"/>
  <c r="G140" i="8"/>
  <c r="H140" i="8"/>
  <c r="I140" i="8"/>
  <c r="J140" i="8"/>
  <c r="K140" i="8"/>
  <c r="L140" i="8"/>
  <c r="M140" i="8"/>
  <c r="N140" i="8"/>
  <c r="E141" i="8"/>
  <c r="F141" i="8"/>
  <c r="G141" i="8"/>
  <c r="H141" i="8"/>
  <c r="I141" i="8"/>
  <c r="J141" i="8"/>
  <c r="K141" i="8"/>
  <c r="L141" i="8"/>
  <c r="M141" i="8"/>
  <c r="N141" i="8"/>
  <c r="E142" i="8"/>
  <c r="F142" i="8"/>
  <c r="G142" i="8"/>
  <c r="H142" i="8"/>
  <c r="I142" i="8"/>
  <c r="J142" i="8"/>
  <c r="K142" i="8"/>
  <c r="L142" i="8"/>
  <c r="M142" i="8"/>
  <c r="N142" i="8"/>
  <c r="E143" i="8"/>
  <c r="F143" i="8"/>
  <c r="G143" i="8"/>
  <c r="H143" i="8"/>
  <c r="I143" i="8"/>
  <c r="J143" i="8"/>
  <c r="K143" i="8"/>
  <c r="L143" i="8"/>
  <c r="M143" i="8"/>
  <c r="N143" i="8"/>
  <c r="E144" i="8"/>
  <c r="F144" i="8"/>
  <c r="G144" i="8"/>
  <c r="H144" i="8"/>
  <c r="I144" i="8"/>
  <c r="J144" i="8"/>
  <c r="K144" i="8"/>
  <c r="L144" i="8"/>
  <c r="M144" i="8"/>
  <c r="N144" i="8"/>
  <c r="E145" i="8"/>
  <c r="F145" i="8"/>
  <c r="G145" i="8"/>
  <c r="H145" i="8"/>
  <c r="I145" i="8"/>
  <c r="J145" i="8"/>
  <c r="K145" i="8"/>
  <c r="L145" i="8"/>
  <c r="M145" i="8"/>
  <c r="N145" i="8"/>
  <c r="E146" i="8"/>
  <c r="F146" i="8"/>
  <c r="G146" i="8"/>
  <c r="H146" i="8"/>
  <c r="I146" i="8"/>
  <c r="J146" i="8"/>
  <c r="K146" i="8"/>
  <c r="L146" i="8"/>
  <c r="M146" i="8"/>
  <c r="N146" i="8"/>
  <c r="E147" i="8"/>
  <c r="F147" i="8"/>
  <c r="G147" i="8"/>
  <c r="H147" i="8"/>
  <c r="I147" i="8"/>
  <c r="J147" i="8"/>
  <c r="K147" i="8"/>
  <c r="L147" i="8"/>
  <c r="M147" i="8"/>
  <c r="N147" i="8"/>
  <c r="E148" i="8"/>
  <c r="F148" i="8"/>
  <c r="G148" i="8"/>
  <c r="H148" i="8"/>
  <c r="I148" i="8"/>
  <c r="J148" i="8"/>
  <c r="K148" i="8"/>
  <c r="L148" i="8"/>
  <c r="M148" i="8"/>
  <c r="N148" i="8"/>
  <c r="E149" i="8"/>
  <c r="F149" i="8"/>
  <c r="G149" i="8"/>
  <c r="H149" i="8"/>
  <c r="I149" i="8"/>
  <c r="J149" i="8"/>
  <c r="K149" i="8"/>
  <c r="L149" i="8"/>
  <c r="M149" i="8"/>
  <c r="N149" i="8"/>
  <c r="E150" i="8"/>
  <c r="F150" i="8"/>
  <c r="G150" i="8"/>
  <c r="H150" i="8"/>
  <c r="I150" i="8"/>
  <c r="J150" i="8"/>
  <c r="K150" i="8"/>
  <c r="L150" i="8"/>
  <c r="M150" i="8"/>
  <c r="N150" i="8"/>
  <c r="E151" i="8"/>
  <c r="F151" i="8"/>
  <c r="G151" i="8"/>
  <c r="H151" i="8"/>
  <c r="I151" i="8"/>
  <c r="J151" i="8"/>
  <c r="K151" i="8"/>
  <c r="L151" i="8"/>
  <c r="M151" i="8"/>
  <c r="N151" i="8"/>
  <c r="E152" i="8"/>
  <c r="F152" i="8"/>
  <c r="G152" i="8"/>
  <c r="H152" i="8"/>
  <c r="I152" i="8"/>
  <c r="J152" i="8"/>
  <c r="K152" i="8"/>
  <c r="L152" i="8"/>
  <c r="M152" i="8"/>
  <c r="N152" i="8"/>
  <c r="E153" i="8"/>
  <c r="F153" i="8"/>
  <c r="G153" i="8"/>
  <c r="H153" i="8"/>
  <c r="I153" i="8"/>
  <c r="J153" i="8"/>
  <c r="K153" i="8"/>
  <c r="L153" i="8"/>
  <c r="M153" i="8"/>
  <c r="N153" i="8"/>
  <c r="I127" i="8"/>
  <c r="N127" i="8"/>
  <c r="M127" i="8"/>
  <c r="L127" i="8"/>
  <c r="K127" i="8"/>
  <c r="J127" i="8"/>
  <c r="H127" i="8"/>
  <c r="G127" i="8"/>
  <c r="F127" i="8"/>
  <c r="E127" i="8"/>
  <c r="E112" i="8"/>
  <c r="F112" i="8"/>
  <c r="G112" i="8"/>
  <c r="H112" i="8"/>
  <c r="I112" i="8"/>
  <c r="J112" i="8"/>
  <c r="K112" i="8"/>
  <c r="L112" i="8"/>
  <c r="M112" i="8"/>
  <c r="N112" i="8"/>
  <c r="E113" i="8"/>
  <c r="F113" i="8"/>
  <c r="G113" i="8"/>
  <c r="H113" i="8"/>
  <c r="I113" i="8"/>
  <c r="J113" i="8"/>
  <c r="K113" i="8"/>
  <c r="L113" i="8"/>
  <c r="M113" i="8"/>
  <c r="N113" i="8"/>
  <c r="E114" i="8"/>
  <c r="F114" i="8"/>
  <c r="G114" i="8"/>
  <c r="H114" i="8"/>
  <c r="I114" i="8"/>
  <c r="J114" i="8"/>
  <c r="K114" i="8"/>
  <c r="L114" i="8"/>
  <c r="M114" i="8"/>
  <c r="N114" i="8"/>
  <c r="E115" i="8"/>
  <c r="F115" i="8"/>
  <c r="G115" i="8"/>
  <c r="H115" i="8"/>
  <c r="I115" i="8"/>
  <c r="J115" i="8"/>
  <c r="K115" i="8"/>
  <c r="L115" i="8"/>
  <c r="M115" i="8"/>
  <c r="N115" i="8"/>
  <c r="E116" i="8"/>
  <c r="F116" i="8"/>
  <c r="G116" i="8"/>
  <c r="H116" i="8"/>
  <c r="I116" i="8"/>
  <c r="J116" i="8"/>
  <c r="K116" i="8"/>
  <c r="L116" i="8"/>
  <c r="M116" i="8"/>
  <c r="N116" i="8"/>
  <c r="E117" i="8"/>
  <c r="F117" i="8"/>
  <c r="G117" i="8"/>
  <c r="H117" i="8"/>
  <c r="I117" i="8"/>
  <c r="J117" i="8"/>
  <c r="K117" i="8"/>
  <c r="L117" i="8"/>
  <c r="M117" i="8"/>
  <c r="N117" i="8"/>
  <c r="E118" i="8"/>
  <c r="F118" i="8"/>
  <c r="G118" i="8"/>
  <c r="H118" i="8"/>
  <c r="I118" i="8"/>
  <c r="J118" i="8"/>
  <c r="K118" i="8"/>
  <c r="L118" i="8"/>
  <c r="M118" i="8"/>
  <c r="N118" i="8"/>
  <c r="E119" i="8"/>
  <c r="F119" i="8"/>
  <c r="G119" i="8"/>
  <c r="H119" i="8"/>
  <c r="I119" i="8"/>
  <c r="J119" i="8"/>
  <c r="K119" i="8"/>
  <c r="L119" i="8"/>
  <c r="M119" i="8"/>
  <c r="N119" i="8"/>
  <c r="E120" i="8"/>
  <c r="F120" i="8"/>
  <c r="G120" i="8"/>
  <c r="H120" i="8"/>
  <c r="I120" i="8"/>
  <c r="J120" i="8"/>
  <c r="K120" i="8"/>
  <c r="L120" i="8"/>
  <c r="M120" i="8"/>
  <c r="N120" i="8"/>
  <c r="E121" i="8"/>
  <c r="F121" i="8"/>
  <c r="G121" i="8"/>
  <c r="H121" i="8"/>
  <c r="I121" i="8"/>
  <c r="J121" i="8"/>
  <c r="K121" i="8"/>
  <c r="L121" i="8"/>
  <c r="M121" i="8"/>
  <c r="N121" i="8"/>
  <c r="E122" i="8"/>
  <c r="F122" i="8"/>
  <c r="G122" i="8"/>
  <c r="H122" i="8"/>
  <c r="I122" i="8"/>
  <c r="J122" i="8"/>
  <c r="K122" i="8"/>
  <c r="L122" i="8"/>
  <c r="M122" i="8"/>
  <c r="N122" i="8"/>
  <c r="E123" i="8"/>
  <c r="F123" i="8"/>
  <c r="G123" i="8"/>
  <c r="H123" i="8"/>
  <c r="I123" i="8"/>
  <c r="J123" i="8"/>
  <c r="K123" i="8"/>
  <c r="L123" i="8"/>
  <c r="M123" i="8"/>
  <c r="N123" i="8"/>
  <c r="N111" i="8"/>
  <c r="M111" i="8"/>
  <c r="L111" i="8"/>
  <c r="K111" i="8"/>
  <c r="J111" i="8"/>
  <c r="I111" i="8"/>
  <c r="H111" i="8"/>
  <c r="G111" i="8"/>
  <c r="F111" i="8"/>
  <c r="E111" i="8"/>
  <c r="E81" i="8"/>
  <c r="F81" i="8"/>
  <c r="G81" i="8"/>
  <c r="H81" i="8"/>
  <c r="I81" i="8"/>
  <c r="J81" i="8"/>
  <c r="K81" i="8"/>
  <c r="L81" i="8"/>
  <c r="M81" i="8"/>
  <c r="N81" i="8"/>
  <c r="E82" i="8"/>
  <c r="F82" i="8"/>
  <c r="G82" i="8"/>
  <c r="H82" i="8"/>
  <c r="I82" i="8"/>
  <c r="J82" i="8"/>
  <c r="K82" i="8"/>
  <c r="L82" i="8"/>
  <c r="M82" i="8"/>
  <c r="N82" i="8"/>
  <c r="E83" i="8"/>
  <c r="F83" i="8"/>
  <c r="G83" i="8"/>
  <c r="H83" i="8"/>
  <c r="I83" i="8"/>
  <c r="J83" i="8"/>
  <c r="K83" i="8"/>
  <c r="L83" i="8"/>
  <c r="M83" i="8"/>
  <c r="N83" i="8"/>
  <c r="E84" i="8"/>
  <c r="F84" i="8"/>
  <c r="G84" i="8"/>
  <c r="H84" i="8"/>
  <c r="I84" i="8"/>
  <c r="J84" i="8"/>
  <c r="K84" i="8"/>
  <c r="L84" i="8"/>
  <c r="M84" i="8"/>
  <c r="N84" i="8"/>
  <c r="E85" i="8"/>
  <c r="F85" i="8"/>
  <c r="G85" i="8"/>
  <c r="H85" i="8"/>
  <c r="I85" i="8"/>
  <c r="J85" i="8"/>
  <c r="K85" i="8"/>
  <c r="L85" i="8"/>
  <c r="M85" i="8"/>
  <c r="N85" i="8"/>
  <c r="E86" i="8"/>
  <c r="F86" i="8"/>
  <c r="G86" i="8"/>
  <c r="H86" i="8"/>
  <c r="I86" i="8"/>
  <c r="J86" i="8"/>
  <c r="K86" i="8"/>
  <c r="L86" i="8"/>
  <c r="M86" i="8"/>
  <c r="N86" i="8"/>
  <c r="E87" i="8"/>
  <c r="F87" i="8"/>
  <c r="G87" i="8"/>
  <c r="H87" i="8"/>
  <c r="I87" i="8"/>
  <c r="J87" i="8"/>
  <c r="K87" i="8"/>
  <c r="L87" i="8"/>
  <c r="M87" i="8"/>
  <c r="N87" i="8"/>
  <c r="E88" i="8"/>
  <c r="F88" i="8"/>
  <c r="G88" i="8"/>
  <c r="H88" i="8"/>
  <c r="I88" i="8"/>
  <c r="J88" i="8"/>
  <c r="K88" i="8"/>
  <c r="L88" i="8"/>
  <c r="M88" i="8"/>
  <c r="N88" i="8"/>
  <c r="E89" i="8"/>
  <c r="F89" i="8"/>
  <c r="G89" i="8"/>
  <c r="H89" i="8"/>
  <c r="I89" i="8"/>
  <c r="J89" i="8"/>
  <c r="K89" i="8"/>
  <c r="L89" i="8"/>
  <c r="M89" i="8"/>
  <c r="N89" i="8"/>
  <c r="E90" i="8"/>
  <c r="F90" i="8"/>
  <c r="G90" i="8"/>
  <c r="H90" i="8"/>
  <c r="I90" i="8"/>
  <c r="J90" i="8"/>
  <c r="K90" i="8"/>
  <c r="L90" i="8"/>
  <c r="M90" i="8"/>
  <c r="N90" i="8"/>
  <c r="E91" i="8"/>
  <c r="F91" i="8"/>
  <c r="G91" i="8"/>
  <c r="H91" i="8"/>
  <c r="I91" i="8"/>
  <c r="J91" i="8"/>
  <c r="K91" i="8"/>
  <c r="L91" i="8"/>
  <c r="M91" i="8"/>
  <c r="N91" i="8"/>
  <c r="E92" i="8"/>
  <c r="F92" i="8"/>
  <c r="G92" i="8"/>
  <c r="H92" i="8"/>
  <c r="I92" i="8"/>
  <c r="J92" i="8"/>
  <c r="K92" i="8"/>
  <c r="L92" i="8"/>
  <c r="M92" i="8"/>
  <c r="N92" i="8"/>
  <c r="E93" i="8"/>
  <c r="F93" i="8"/>
  <c r="G93" i="8"/>
  <c r="H93" i="8"/>
  <c r="I93" i="8"/>
  <c r="J93" i="8"/>
  <c r="K93" i="8"/>
  <c r="L93" i="8"/>
  <c r="M93" i="8"/>
  <c r="N93" i="8"/>
  <c r="E94" i="8"/>
  <c r="F94" i="8"/>
  <c r="G94" i="8"/>
  <c r="H94" i="8"/>
  <c r="I94" i="8"/>
  <c r="J94" i="8"/>
  <c r="K94" i="8"/>
  <c r="L94" i="8"/>
  <c r="M94" i="8"/>
  <c r="N94" i="8"/>
  <c r="E95" i="8"/>
  <c r="F95" i="8"/>
  <c r="G95" i="8"/>
  <c r="H95" i="8"/>
  <c r="I95" i="8"/>
  <c r="J95" i="8"/>
  <c r="K95" i="8"/>
  <c r="L95" i="8"/>
  <c r="M95" i="8"/>
  <c r="N95" i="8"/>
  <c r="E96" i="8"/>
  <c r="F96" i="8"/>
  <c r="G96" i="8"/>
  <c r="H96" i="8"/>
  <c r="I96" i="8"/>
  <c r="J96" i="8"/>
  <c r="K96" i="8"/>
  <c r="L96" i="8"/>
  <c r="M96" i="8"/>
  <c r="N96" i="8"/>
  <c r="E97" i="8"/>
  <c r="F97" i="8"/>
  <c r="G97" i="8"/>
  <c r="H97" i="8"/>
  <c r="I97" i="8"/>
  <c r="J97" i="8"/>
  <c r="K97" i="8"/>
  <c r="L97" i="8"/>
  <c r="M97" i="8"/>
  <c r="N97" i="8"/>
  <c r="E98" i="8"/>
  <c r="F98" i="8"/>
  <c r="G98" i="8"/>
  <c r="H98" i="8"/>
  <c r="I98" i="8"/>
  <c r="J98" i="8"/>
  <c r="K98" i="8"/>
  <c r="L98" i="8"/>
  <c r="M98" i="8"/>
  <c r="N98" i="8"/>
  <c r="E99" i="8"/>
  <c r="F99" i="8"/>
  <c r="G99" i="8"/>
  <c r="H99" i="8"/>
  <c r="I99" i="8"/>
  <c r="J99" i="8"/>
  <c r="K99" i="8"/>
  <c r="L99" i="8"/>
  <c r="M99" i="8"/>
  <c r="N99" i="8"/>
  <c r="E100" i="8"/>
  <c r="F100" i="8"/>
  <c r="G100" i="8"/>
  <c r="H100" i="8"/>
  <c r="I100" i="8"/>
  <c r="J100" i="8"/>
  <c r="K100" i="8"/>
  <c r="L100" i="8"/>
  <c r="M100" i="8"/>
  <c r="N100" i="8"/>
  <c r="E101" i="8"/>
  <c r="F101" i="8"/>
  <c r="G101" i="8"/>
  <c r="H101" i="8"/>
  <c r="I101" i="8"/>
  <c r="J101" i="8"/>
  <c r="K101" i="8"/>
  <c r="L101" i="8"/>
  <c r="M101" i="8"/>
  <c r="N101" i="8"/>
  <c r="E102" i="8"/>
  <c r="F102" i="8"/>
  <c r="G102" i="8"/>
  <c r="H102" i="8"/>
  <c r="I102" i="8"/>
  <c r="J102" i="8"/>
  <c r="K102" i="8"/>
  <c r="L102" i="8"/>
  <c r="M102" i="8"/>
  <c r="N102" i="8"/>
  <c r="E103" i="8"/>
  <c r="F103" i="8"/>
  <c r="G103" i="8"/>
  <c r="H103" i="8"/>
  <c r="I103" i="8"/>
  <c r="J103" i="8"/>
  <c r="K103" i="8"/>
  <c r="L103" i="8"/>
  <c r="M103" i="8"/>
  <c r="N103" i="8"/>
  <c r="E104" i="8"/>
  <c r="F104" i="8"/>
  <c r="G104" i="8"/>
  <c r="H104" i="8"/>
  <c r="I104" i="8"/>
  <c r="J104" i="8"/>
  <c r="K104" i="8"/>
  <c r="L104" i="8"/>
  <c r="M104" i="8"/>
  <c r="N104" i="8"/>
  <c r="E105" i="8"/>
  <c r="F105" i="8"/>
  <c r="G105" i="8"/>
  <c r="H105" i="8"/>
  <c r="I105" i="8"/>
  <c r="J105" i="8"/>
  <c r="K105" i="8"/>
  <c r="L105" i="8"/>
  <c r="M105" i="8"/>
  <c r="N105" i="8"/>
  <c r="E106" i="8"/>
  <c r="F106" i="8"/>
  <c r="G106" i="8"/>
  <c r="H106" i="8"/>
  <c r="I106" i="8"/>
  <c r="J106" i="8"/>
  <c r="K106" i="8"/>
  <c r="L106" i="8"/>
  <c r="M106" i="8"/>
  <c r="N106" i="8"/>
  <c r="E107" i="8"/>
  <c r="F107" i="8"/>
  <c r="G107" i="8"/>
  <c r="H107" i="8"/>
  <c r="I107" i="8"/>
  <c r="J107" i="8"/>
  <c r="K107" i="8"/>
  <c r="L107" i="8"/>
  <c r="M107" i="8"/>
  <c r="N107" i="8"/>
  <c r="N80" i="8"/>
  <c r="M80" i="8"/>
  <c r="L80" i="8"/>
  <c r="K80" i="8"/>
  <c r="J80" i="8"/>
  <c r="I80" i="8"/>
  <c r="H80" i="8"/>
  <c r="G80" i="8"/>
  <c r="F80" i="8"/>
  <c r="E80" i="8"/>
  <c r="E53" i="8"/>
  <c r="L67" i="8"/>
  <c r="K67" i="8"/>
  <c r="J67" i="8"/>
  <c r="I67" i="8"/>
  <c r="H67" i="8"/>
  <c r="L66" i="8"/>
  <c r="L65" i="8"/>
  <c r="L64" i="8"/>
  <c r="K66" i="8"/>
  <c r="K65" i="8"/>
  <c r="K64" i="8"/>
  <c r="J66" i="8"/>
  <c r="J65" i="8"/>
  <c r="J64" i="8"/>
  <c r="I65" i="8"/>
  <c r="I66" i="8"/>
  <c r="I64" i="8"/>
  <c r="H66" i="8"/>
  <c r="H65" i="8"/>
  <c r="H64" i="8"/>
  <c r="L63" i="8"/>
  <c r="L62" i="8"/>
  <c r="L61" i="8"/>
  <c r="K63" i="8"/>
  <c r="K62" i="8"/>
  <c r="K61" i="8"/>
  <c r="J63" i="8"/>
  <c r="J62" i="8"/>
  <c r="J61" i="8"/>
  <c r="I63" i="8"/>
  <c r="I62" i="8"/>
  <c r="I61" i="8"/>
  <c r="H63" i="8"/>
  <c r="H62" i="8"/>
  <c r="H61" i="8"/>
  <c r="G63" i="8"/>
  <c r="G62" i="8"/>
  <c r="G61" i="8"/>
  <c r="F62" i="8"/>
  <c r="F63" i="8"/>
  <c r="F61" i="8"/>
  <c r="L68" i="8"/>
  <c r="K68" i="8"/>
  <c r="J68" i="8"/>
  <c r="I68" i="8"/>
  <c r="H68" i="8"/>
  <c r="G68" i="8"/>
  <c r="F68" i="8"/>
  <c r="E68" i="8"/>
  <c r="E63" i="8"/>
  <c r="E62" i="8"/>
  <c r="E61" i="8"/>
  <c r="E59" i="8"/>
  <c r="F59" i="8"/>
  <c r="G59" i="8"/>
  <c r="I59" i="8"/>
  <c r="J59" i="8"/>
  <c r="K59" i="8"/>
  <c r="L59" i="8"/>
  <c r="E58" i="8"/>
  <c r="F58" i="8"/>
  <c r="G58" i="8"/>
  <c r="I58" i="8"/>
  <c r="J58" i="8"/>
  <c r="K58" i="8"/>
  <c r="L58" i="8"/>
  <c r="E57" i="8"/>
  <c r="F57" i="8"/>
  <c r="G57" i="8"/>
  <c r="I57" i="8"/>
  <c r="J57" i="8"/>
  <c r="K57" i="8"/>
  <c r="L57" i="8"/>
  <c r="L56" i="8"/>
  <c r="K56" i="8"/>
  <c r="J56" i="8"/>
  <c r="I56" i="8"/>
  <c r="G56" i="8"/>
  <c r="F56" i="8"/>
  <c r="E56" i="8"/>
  <c r="L55" i="8"/>
  <c r="K55" i="8"/>
  <c r="J55" i="8"/>
  <c r="I55" i="8"/>
  <c r="G55" i="8"/>
  <c r="F55" i="8"/>
  <c r="E55" i="8"/>
  <c r="E54" i="8"/>
  <c r="F54" i="8"/>
  <c r="G54" i="8"/>
  <c r="J54" i="8"/>
  <c r="K54" i="8"/>
  <c r="L54" i="8"/>
  <c r="L53" i="8"/>
  <c r="J53" i="8"/>
  <c r="G53" i="8"/>
  <c r="F53" i="8"/>
  <c r="D28" i="1"/>
  <c r="E25" i="1"/>
  <c r="D16" i="1"/>
  <c r="D25" i="1"/>
  <c r="E22" i="1"/>
  <c r="F19" i="1"/>
  <c r="D22" i="1"/>
  <c r="F25" i="1"/>
  <c r="F28" i="1"/>
  <c r="D19" i="1"/>
  <c r="F22" i="1"/>
  <c r="F16" i="1"/>
  <c r="E19" i="1"/>
  <c r="E16" i="1"/>
  <c r="E28" i="1"/>
  <c r="C19" i="1"/>
  <c r="C28" i="1"/>
  <c r="C22" i="1"/>
  <c r="C25" i="1"/>
  <c r="B25" i="1"/>
  <c r="B19" i="1"/>
  <c r="B22" i="1"/>
  <c r="B28" i="1"/>
  <c r="F29" i="1" l="1"/>
  <c r="F20" i="1"/>
  <c r="F23" i="1"/>
  <c r="E23" i="1"/>
  <c r="E20" i="1"/>
  <c r="F26" i="1"/>
  <c r="E26" i="1"/>
  <c r="D29" i="1"/>
  <c r="D26" i="1"/>
  <c r="D23" i="1"/>
  <c r="D20" i="1"/>
  <c r="E29" i="1"/>
  <c r="C29" i="1"/>
  <c r="C26" i="1"/>
  <c r="C23" i="1"/>
  <c r="C20" i="1"/>
  <c r="B29" i="1"/>
  <c r="B26" i="1"/>
  <c r="B23" i="1"/>
  <c r="B20" i="1"/>
  <c r="E17" i="1"/>
  <c r="D17" i="1"/>
  <c r="F17" i="1"/>
  <c r="C17" i="1"/>
  <c r="Z2" i="2" l="1"/>
  <c r="Z3" i="2" l="1"/>
  <c r="AA3" i="2" s="1"/>
  <c r="R4" i="2"/>
  <c r="S3" i="2"/>
  <c r="S2" i="2"/>
  <c r="Z4" i="2" l="1"/>
  <c r="AA4" i="2" s="1"/>
  <c r="AA2" i="2"/>
</calcChain>
</file>

<file path=xl/comments1.xml><?xml version="1.0" encoding="utf-8"?>
<comments xmlns="http://schemas.openxmlformats.org/spreadsheetml/2006/main">
  <authors>
    <author>Gary Henricksen</author>
  </authors>
  <commentList>
    <comment ref="A14" authorId="0" shapeId="0">
      <text>
        <r>
          <rPr>
            <b/>
            <sz val="9"/>
            <color indexed="81"/>
            <rFont val="Tahoma"/>
            <family val="2"/>
          </rPr>
          <t>Gary Henricksen:</t>
        </r>
        <r>
          <rPr>
            <sz val="9"/>
            <color indexed="81"/>
            <rFont val="Tahoma"/>
            <family val="2"/>
          </rPr>
          <t xml:space="preserve">
add price for sending art files to client</t>
        </r>
      </text>
    </comment>
  </commentList>
</comments>
</file>

<file path=xl/comments2.xml><?xml version="1.0" encoding="utf-8"?>
<comments xmlns="http://schemas.openxmlformats.org/spreadsheetml/2006/main">
  <authors>
    <author>Gary Henricksen</author>
  </authors>
  <commentList>
    <comment ref="E34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73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91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99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130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  <comment ref="E146" authorId="0" shapeId="0">
      <text>
        <r>
          <rPr>
            <sz val="9"/>
            <color indexed="81"/>
            <rFont val="Tahoma"/>
            <family val="2"/>
          </rPr>
          <t xml:space="preserve">horizontal match term requires adding 1 to the value returned in order to get the right column for service codes down through match inserting  </t>
        </r>
      </text>
    </comment>
  </commentList>
</comments>
</file>

<file path=xl/sharedStrings.xml><?xml version="1.0" encoding="utf-8"?>
<sst xmlns="http://schemas.openxmlformats.org/spreadsheetml/2006/main" count="1851" uniqueCount="919">
  <si>
    <t>VariableChoice</t>
  </si>
  <si>
    <t>Static Printing</t>
  </si>
  <si>
    <t>Variable Printing</t>
  </si>
  <si>
    <t>Variable Images</t>
  </si>
  <si>
    <t>Front</t>
  </si>
  <si>
    <t>Back</t>
  </si>
  <si>
    <t>K</t>
  </si>
  <si>
    <t>Factor</t>
  </si>
  <si>
    <t>VarLimit</t>
  </si>
  <si>
    <t>Label</t>
  </si>
  <si>
    <t>Regulation postcard/DAL</t>
  </si>
  <si>
    <t>Oversized Postcard</t>
  </si>
  <si>
    <t>Jumbo Postcard</t>
  </si>
  <si>
    <t>Letterhead/Letter</t>
  </si>
  <si>
    <t>Reply Form</t>
  </si>
  <si>
    <t>Reply Card</t>
  </si>
  <si>
    <t>Letter 8.5 x 14 Perfed</t>
  </si>
  <si>
    <t>Flyer/Brochure/Self-mailer</t>
  </si>
  <si>
    <t>Donor Impact Report</t>
  </si>
  <si>
    <t>Newsletter</t>
  </si>
  <si>
    <t>11x17 folded to 8.5x11</t>
  </si>
  <si>
    <t>Multi page 11x17 folded to 8.5x11</t>
  </si>
  <si>
    <t>Other</t>
  </si>
  <si>
    <t>Type</t>
  </si>
  <si>
    <t>PaperSource</t>
  </si>
  <si>
    <t>Printout</t>
  </si>
  <si>
    <t>Client</t>
  </si>
  <si>
    <t>Five Maples stock</t>
  </si>
  <si>
    <t>Five M. special order</t>
  </si>
  <si>
    <t>ClickCharge</t>
  </si>
  <si>
    <t>PriceAdder</t>
  </si>
  <si>
    <t>Number up:</t>
  </si>
  <si>
    <t>Column1</t>
  </si>
  <si>
    <t>Column2</t>
  </si>
  <si>
    <t>PrintOutMarkup</t>
  </si>
  <si>
    <t>Size</t>
  </si>
  <si>
    <t># Across</t>
  </si>
  <si>
    <t>Total Dimension</t>
  </si>
  <si>
    <t>1110+ Black</t>
  </si>
  <si>
    <t>C700 black</t>
  </si>
  <si>
    <t>Black Blend</t>
  </si>
  <si>
    <t>C700 Color</t>
  </si>
  <si>
    <t>StaticLimit</t>
  </si>
  <si>
    <t>Annual clicks</t>
  </si>
  <si>
    <t>Attributed Labor Cost</t>
  </si>
  <si>
    <t>Annual Lease cost</t>
  </si>
  <si>
    <t>Total indirect COGS</t>
  </si>
  <si>
    <t>2000000</t>
  </si>
  <si>
    <t>Choose Stock</t>
  </si>
  <si>
    <t>100# Sterling dull cover 13 x 19</t>
  </si>
  <si>
    <t>Choose Color Mode</t>
  </si>
  <si>
    <t>CMYK 2 sides</t>
  </si>
  <si>
    <t>Enter Quantity</t>
  </si>
  <si>
    <t># up (from row 50, B-E</t>
  </si>
  <si>
    <t>Print Time in hours=</t>
  </si>
  <si>
    <t>Column3</t>
  </si>
  <si>
    <t>Option 1</t>
  </si>
  <si>
    <t>Option 2</t>
  </si>
  <si>
    <t>Option 3</t>
  </si>
  <si>
    <t>Option 4</t>
  </si>
  <si>
    <t>Option 5</t>
  </si>
  <si>
    <t>Choose Paper Source</t>
  </si>
  <si>
    <t>Choose final size (if from MR stock)</t>
  </si>
  <si>
    <t>4.25 x 6</t>
  </si>
  <si>
    <t>5 x 7 with bleeds</t>
  </si>
  <si>
    <t>5.5 x 8.5 with bleeds</t>
  </si>
  <si>
    <t>6 x 11 with bleeds</t>
  </si>
  <si>
    <t>Choose paper stock (if from MR stock)</t>
  </si>
  <si>
    <t>80# Accent Opaque smooth cover</t>
  </si>
  <si>
    <t xml:space="preserve">120# Sterling dull cover </t>
  </si>
  <si>
    <t>OR, Enter specification for client supplied or special order paper</t>
  </si>
  <si>
    <t>AND, Enter final size of piece</t>
  </si>
  <si>
    <t>AND, Enter Paper Cost/M if special order or print out</t>
  </si>
  <si>
    <t>Side 1 Color</t>
  </si>
  <si>
    <t>Side 2 Color</t>
  </si>
  <si>
    <t>Static or Variable Printing</t>
  </si>
  <si>
    <t>Enter Quantity 1</t>
  </si>
  <si>
    <t>Price Each</t>
  </si>
  <si>
    <t>Total Price 1</t>
  </si>
  <si>
    <t>Enter Quantity 2</t>
  </si>
  <si>
    <t>Total Price 2</t>
  </si>
  <si>
    <t>Enter Quantity 3</t>
  </si>
  <si>
    <t>Total Price 3</t>
  </si>
  <si>
    <t>Enter Quantity 4</t>
  </si>
  <si>
    <t>Total Price 4</t>
  </si>
  <si>
    <t>Enter Quantity 5</t>
  </si>
  <si>
    <t>Total Price 5</t>
  </si>
  <si>
    <t>8.5x11 Bulk</t>
  </si>
  <si>
    <t>8.5 x 11</t>
  </si>
  <si>
    <t>8.5x11w/3.5</t>
  </si>
  <si>
    <t>8.5 x 14</t>
  </si>
  <si>
    <t>8.5x14w/3.5</t>
  </si>
  <si>
    <t>11x17 Bulk</t>
  </si>
  <si>
    <t>11x17</t>
  </si>
  <si>
    <t>12x18 Bulk</t>
  </si>
  <si>
    <t>12x18</t>
  </si>
  <si>
    <t>13x19</t>
  </si>
  <si>
    <t>3.5 x 5.5</t>
  </si>
  <si>
    <t>3.5 x 5.5 w/ bleeds</t>
  </si>
  <si>
    <t>3.5 x 6</t>
  </si>
  <si>
    <t>3.5 x 6 with bleeds</t>
  </si>
  <si>
    <t>3.5 x 8</t>
  </si>
  <si>
    <t>3.5 x 8 with bleeds</t>
  </si>
  <si>
    <t>3.5 x 8.5</t>
  </si>
  <si>
    <t>3.5 x 8.5 with bleeds</t>
  </si>
  <si>
    <t>3.67 x 8.5</t>
  </si>
  <si>
    <t>3.67 x 8.5 with bleeds</t>
  </si>
  <si>
    <t>4 x 5.5</t>
  </si>
  <si>
    <t>4 x 5.5 with bleeds</t>
  </si>
  <si>
    <t>4 x 6</t>
  </si>
  <si>
    <t>4 x 6 with bleeds</t>
  </si>
  <si>
    <t>4.25 x 5.5</t>
  </si>
  <si>
    <t>4.25 x 5.5 with bleeds</t>
  </si>
  <si>
    <t>4.25 x 6 with bleeds</t>
  </si>
  <si>
    <t>4.625 x 6.25</t>
  </si>
  <si>
    <t>4.625 x 6.25 with bleeds</t>
  </si>
  <si>
    <t>4 x 8</t>
  </si>
  <si>
    <t>4 x 8 with bleeds</t>
  </si>
  <si>
    <t>4 x 9</t>
  </si>
  <si>
    <t>4 x 9 with bleeds</t>
  </si>
  <si>
    <t>5 x 7</t>
  </si>
  <si>
    <t>5.5 x 7.5</t>
  </si>
  <si>
    <t>5.5 x 7.5 with bleeds</t>
  </si>
  <si>
    <t>5.5 x 8.5</t>
  </si>
  <si>
    <t>5.75 x 11</t>
  </si>
  <si>
    <t>5.75 x 11 with bleeds</t>
  </si>
  <si>
    <t>5.75 x 18</t>
  </si>
  <si>
    <t>5.75 x 18 with bleeds</t>
  </si>
  <si>
    <t>6 x 10</t>
  </si>
  <si>
    <t>6 x 10 with bleeds</t>
  </si>
  <si>
    <t>6 x 10.5</t>
  </si>
  <si>
    <t>6 x 10.5 with bleeds</t>
  </si>
  <si>
    <t>6 x 11</t>
  </si>
  <si>
    <t>6 x 18</t>
  </si>
  <si>
    <t>6 x 18 with bleeds</t>
  </si>
  <si>
    <t>6 x 8</t>
  </si>
  <si>
    <t>6 x 8 with bleeds</t>
  </si>
  <si>
    <t>6 x 8.5</t>
  </si>
  <si>
    <t>6 x 8.5 with bleeds</t>
  </si>
  <si>
    <t>6 x 9</t>
  </si>
  <si>
    <t>6 x 9 with bleeds</t>
  </si>
  <si>
    <t>6.25 x 10</t>
  </si>
  <si>
    <t>6.25 x 9.25 with bleeds</t>
  </si>
  <si>
    <t>6.625 x 10</t>
  </si>
  <si>
    <t>6.625 x 9.25 with bleeds</t>
  </si>
  <si>
    <t>7 x 8.5</t>
  </si>
  <si>
    <t>7 x 8.5 with bleeds</t>
  </si>
  <si>
    <t>7.5 x 8.5</t>
  </si>
  <si>
    <t>7.5 x 8.5 with bleeds</t>
  </si>
  <si>
    <t>7.75 x 8.5</t>
  </si>
  <si>
    <t>7.75 x 8.5 with bleeds</t>
  </si>
  <si>
    <t>8 x 10</t>
  </si>
  <si>
    <t>8 x 10 with bleeds</t>
  </si>
  <si>
    <t>8.5 x 11 with 3.5" perf</t>
  </si>
  <si>
    <t>8.5 x 11 12 page booklet</t>
  </si>
  <si>
    <t>8.5 x 11 12 page booklet with bleeds</t>
  </si>
  <si>
    <t>8.5 x 11 8 page booklet</t>
  </si>
  <si>
    <t>8.5 x 11 8 page booklet with bleeds</t>
  </si>
  <si>
    <t>8.5 x 11 with bleeds</t>
  </si>
  <si>
    <t>8.5 x 14 with bleeds</t>
  </si>
  <si>
    <t>8.5 x 14 with 3.5" perf</t>
  </si>
  <si>
    <t>11 x 17</t>
  </si>
  <si>
    <t>11 x 17 with bleeds</t>
  </si>
  <si>
    <t>Label 1 x 4 (8.5x11)</t>
  </si>
  <si>
    <t>Label 2 x 4 (8.5x11)</t>
  </si>
  <si>
    <t>Label 3.33 x 4 (8.5x11)</t>
  </si>
  <si>
    <t>Label 4 x 5 (8.5x11)</t>
  </si>
  <si>
    <t>FinalSize</t>
  </si>
  <si>
    <t>Stocked as</t>
  </si>
  <si>
    <t>PaperName</t>
  </si>
  <si>
    <t xml:space="preserve">11 x 17 </t>
  </si>
  <si>
    <t>8.5x11</t>
  </si>
  <si>
    <t>8.5x14</t>
  </si>
  <si>
    <t>20# white copy paper</t>
  </si>
  <si>
    <t>x</t>
  </si>
  <si>
    <t>60# Suzano Report white</t>
  </si>
  <si>
    <t>8.5 x 11 - 3.5" perf, 60# white</t>
  </si>
  <si>
    <t>8.5x14 60# Accent Opaque white</t>
  </si>
  <si>
    <t>8.5 x 14 - 3.5" perf, 60# white</t>
  </si>
  <si>
    <t>60# Springhill opaque colors</t>
  </si>
  <si>
    <t>70# Springhill opaque colors</t>
  </si>
  <si>
    <t>70# Finch Digital Opaque white</t>
  </si>
  <si>
    <t>70# Roland 30% Recycle white</t>
  </si>
  <si>
    <t>70# Finch Fine ID</t>
  </si>
  <si>
    <t>70# Cougar Opaque white text</t>
  </si>
  <si>
    <t>70# Mohawk 100% recycle white</t>
  </si>
  <si>
    <t>28# Finch Fine Color Copy</t>
  </si>
  <si>
    <t>28# Classic Crest Natural white</t>
  </si>
  <si>
    <t>28# Classic Crest Avon Billiant white</t>
  </si>
  <si>
    <t>80# Xpri Digital Velvet text</t>
  </si>
  <si>
    <t>(x)</t>
  </si>
  <si>
    <t>32# Mohawk bright white</t>
  </si>
  <si>
    <t>80# Sterling gloss text</t>
  </si>
  <si>
    <t>100# Sterling gloss text</t>
  </si>
  <si>
    <t>100# Finch Digital Opaque</t>
  </si>
  <si>
    <t>100# Finch Fine ID</t>
  </si>
  <si>
    <t>67# Springhill Vellum  Bristol white</t>
  </si>
  <si>
    <t>67# Springhill Vellum Bristol colors</t>
  </si>
  <si>
    <t>80# Accent Opaque Super Smooth</t>
  </si>
  <si>
    <t>60# Hammermill Color Copy cover</t>
  </si>
  <si>
    <t>80# Classic Crest Natural White cover</t>
  </si>
  <si>
    <t xml:space="preserve">100# Sterling gloss cover </t>
  </si>
  <si>
    <t xml:space="preserve">120# Sterling gloss cover </t>
  </si>
  <si>
    <t xml:space="preserve">80# Sterling dull cover </t>
  </si>
  <si>
    <t xml:space="preserve">100# Sterling dull cover </t>
  </si>
  <si>
    <t>80# Chorus Art Silk cover</t>
  </si>
  <si>
    <t>10 pt C1S</t>
  </si>
  <si>
    <t>12 pt C1S</t>
  </si>
  <si>
    <t>Charge</t>
  </si>
  <si>
    <t>12 x 18</t>
  </si>
  <si>
    <t>13 x 19</t>
  </si>
  <si>
    <t>Cost</t>
  </si>
  <si>
    <t>Mail Shop Service Code</t>
  </si>
  <si>
    <t>MINCHRG</t>
  </si>
  <si>
    <t>Single mailing</t>
  </si>
  <si>
    <t>Same Day</t>
  </si>
  <si>
    <t>Design</t>
  </si>
  <si>
    <t>Multiple jobs run at same time</t>
  </si>
  <si>
    <t>$150/ea.</t>
  </si>
  <si>
    <t>24 hour</t>
  </si>
  <si>
    <t>48 hour</t>
  </si>
  <si>
    <t>Data Processing</t>
  </si>
  <si>
    <t>DPTIME</t>
  </si>
  <si>
    <t>LCP</t>
  </si>
  <si>
    <t>Load, CASS and Presort &lt;10,000</t>
  </si>
  <si>
    <t>FILE</t>
  </si>
  <si>
    <t>Load File for Mail Merge</t>
  </si>
  <si>
    <t>RETURNCL</t>
  </si>
  <si>
    <t>REPORTS</t>
  </si>
  <si>
    <t>MASTER</t>
  </si>
  <si>
    <t>CODE</t>
  </si>
  <si>
    <t>EXPORT</t>
  </si>
  <si>
    <t>no charge</t>
  </si>
  <si>
    <t>Description</t>
  </si>
  <si>
    <t>SORT</t>
  </si>
  <si>
    <t>NCOA-RET</t>
  </si>
  <si>
    <t>SETUP</t>
  </si>
  <si>
    <t>SELECT</t>
  </si>
  <si>
    <t>Quoted per project</t>
  </si>
  <si>
    <t>Cut Over</t>
  </si>
  <si>
    <t>CASS</t>
  </si>
  <si>
    <t>CASS Certify/DPV</t>
  </si>
  <si>
    <t>CASS Certify/DPV &amp; Presort</t>
  </si>
  <si>
    <t>NCOA</t>
  </si>
  <si>
    <t>PRESORT</t>
  </si>
  <si>
    <t>DEDUPE</t>
  </si>
  <si>
    <t>Dedupe</t>
  </si>
  <si>
    <t>REVIEWSAL</t>
  </si>
  <si>
    <t xml:space="preserve">SALUTATION </t>
  </si>
  <si>
    <t>ASKGENERIC</t>
  </si>
  <si>
    <t>ASKSTANDARD</t>
  </si>
  <si>
    <t>ASKTABLE</t>
  </si>
  <si>
    <t>ASKCHECK</t>
  </si>
  <si>
    <t>WALKSEQ</t>
  </si>
  <si>
    <t>STAMP</t>
  </si>
  <si>
    <t>BI-, Tri-, Ltr Out, Z-, Dbl Parallel, or Barrel</t>
  </si>
  <si>
    <t>BI-, Tri-, Ltr Out, Z-, Dbl Parallel, or Barrel - Sort Order</t>
  </si>
  <si>
    <t>Setup</t>
  </si>
  <si>
    <t>SETHAND</t>
  </si>
  <si>
    <t>Set Up Hand Work</t>
  </si>
  <si>
    <t>COLLATE</t>
  </si>
  <si>
    <t>NEST</t>
  </si>
  <si>
    <t>INSERTHAND</t>
  </si>
  <si>
    <t>MATCHHAND</t>
  </si>
  <si>
    <t>LABEL</t>
  </si>
  <si>
    <t>1 Stamp/m</t>
  </si>
  <si>
    <t>SEAL</t>
  </si>
  <si>
    <t>GLUE</t>
  </si>
  <si>
    <t>METER</t>
  </si>
  <si>
    <t>POLYWRAP</t>
  </si>
  <si>
    <t>POLYBAG</t>
  </si>
  <si>
    <t>UPS charge</t>
  </si>
  <si>
    <t>make possible to change printout markup factor on individual quotes</t>
  </si>
  <si>
    <t>Skid Storage/skid:</t>
  </si>
  <si>
    <t>add program summary table</t>
  </si>
  <si>
    <t>Receiving w/ physical count/hour:</t>
  </si>
  <si>
    <t>do a screen cast</t>
  </si>
  <si>
    <t>Preparing skid for shipment</t>
  </si>
  <si>
    <t>does the desription in T2 change when switching to RTC?</t>
  </si>
  <si>
    <t>Preparing unboxed inventory for shipment/hour</t>
  </si>
  <si>
    <t>metering (theres a question on the pricing)</t>
  </si>
  <si>
    <t>Delivery/Pick up</t>
  </si>
  <si>
    <t>different quantities for mailings all envelopes printed at once; use Client Stock for now, but come up with solution later</t>
  </si>
  <si>
    <t>Keene, NH</t>
  </si>
  <si>
    <t>what about folding of remit envelopes? It's already included in the price of the envelope</t>
  </si>
  <si>
    <t>Brattleboro, VT</t>
  </si>
  <si>
    <t>cut, score, perf, fold out pricing…for budget estimating, can I come up with a price table?</t>
  </si>
  <si>
    <t>Bellows Fall, VT</t>
  </si>
  <si>
    <t>fix the price curve charts for Printing2, after fixing margin on expensive paper?</t>
  </si>
  <si>
    <t>adjust margin on expensive paper</t>
  </si>
  <si>
    <t>Deliveries with Mailrite Truck</t>
  </si>
  <si>
    <t>Suggested Price</t>
  </si>
  <si>
    <t>Springfield NDC</t>
  </si>
  <si>
    <t>move instructions to the wiki</t>
  </si>
  <si>
    <t>WRJ SCF</t>
  </si>
  <si>
    <t>failure to fill in all choices on printing may still return a price; but will make Format Table break; the price will probably be right, but it will force fixing it</t>
  </si>
  <si>
    <t>Nashua SCF</t>
  </si>
  <si>
    <t>add macro for transfering charts to word</t>
  </si>
  <si>
    <t>Burlington SCF</t>
  </si>
  <si>
    <t>add setup foreign for when foreign is selected</t>
  </si>
  <si>
    <t>8.5x14 multiple mailings, design not needed, what is the letter design cost only part of this</t>
  </si>
  <si>
    <t>add BMC charges</t>
  </si>
  <si>
    <t>Special order envelopes: you have to still choose an envelope specification to get a price</t>
  </si>
  <si>
    <t>high cost papers are still over priced in Printing2, e.g., 1000 Classic Crest is about double what it should be</t>
  </si>
  <si>
    <t>in final chart put printing above lettershop</t>
  </si>
  <si>
    <t>Format 8a has design letter 2 sides but only print 1 side</t>
  </si>
  <si>
    <t>11 x 17 newsletter, 8 and 12 page options?, or with print out added in (entry box?)</t>
  </si>
  <si>
    <t>11 x 17 newsletter tabbed and mailed, no envelope</t>
  </si>
  <si>
    <t>11 x 17 newsletter tabbed and mailed, no envelope; 6-3/4 remit</t>
  </si>
  <si>
    <t>non variable folded holiday card</t>
  </si>
  <si>
    <t>variable folded holiday card</t>
  </si>
  <si>
    <t>Number of NDC/SCF's per job</t>
  </si>
  <si>
    <t>multipage letter pricing</t>
  </si>
  <si>
    <t>need a "Card" printing type?</t>
  </si>
  <si>
    <t>Prep for NDC/SCF Entry - Price per NDC/SCF</t>
  </si>
  <si>
    <t>Change Log</t>
  </si>
  <si>
    <t>Date</t>
  </si>
  <si>
    <t>Details</t>
  </si>
  <si>
    <t>Destination</t>
  </si>
  <si>
    <t>CT, MA, ME, NH, RI</t>
  </si>
  <si>
    <t>NY, NJ</t>
  </si>
  <si>
    <t>VT</t>
  </si>
  <si>
    <t># Pallets / Letter size</t>
  </si>
  <si>
    <t>Trucking Cost</t>
  </si>
  <si>
    <t>Client Services</t>
  </si>
  <si>
    <t>Sales Price</t>
  </si>
  <si>
    <t>Annual Fund Analysis - 10 years of data</t>
  </si>
  <si>
    <t>RFM Analysis</t>
  </si>
  <si>
    <t>Wealth Screening - minimum 250 records; up to 5000 records; price per record</t>
  </si>
  <si>
    <t>for more than 5000 records, see Gary</t>
  </si>
  <si>
    <t>Wealth Screeing Sub Account - Prorated for number of months remaining till end of the following Feb</t>
  </si>
  <si>
    <t>Wealth Screening - Sub Account screening per record</t>
  </si>
  <si>
    <t>Original Artist's Work</t>
  </si>
  <si>
    <t>Add in for development and incorporation into design of original art work (licence for 1 year)</t>
  </si>
  <si>
    <t>per job details</t>
  </si>
  <si>
    <t>Add in for use of same original art work on each additional design (during 1 year licence)</t>
  </si>
  <si>
    <t>Copywriting and Design - Prices for Clients</t>
  </si>
  <si>
    <t>Copywrite</t>
  </si>
  <si>
    <t>Revise Client Draft</t>
  </si>
  <si>
    <t>Edit Client Draft</t>
  </si>
  <si>
    <t>Update Existing or Client Design</t>
  </si>
  <si>
    <t>Layout, Schedule &amp; Release</t>
  </si>
  <si>
    <t>Price Paid to Darin for Copywriting</t>
  </si>
  <si>
    <t>Price Paid to Subcontractor for Design</t>
  </si>
  <si>
    <t>Creative Brief</t>
  </si>
  <si>
    <t>Additional versions</t>
  </si>
  <si>
    <t>Blog Post</t>
  </si>
  <si>
    <t>Card (single or folded) - no image or client supplied image</t>
  </si>
  <si>
    <t>Card (single or folded) - Five Maples sources image (includes multiple use licence fee)</t>
  </si>
  <si>
    <t>Collateral - each additional page</t>
  </si>
  <si>
    <t>Collateral - first page</t>
  </si>
  <si>
    <t>Donor Impact Report - 2 pages</t>
  </si>
  <si>
    <t>Donor Impact Report - 4 pages</t>
  </si>
  <si>
    <t>Email</t>
  </si>
  <si>
    <t>Web Page</t>
  </si>
  <si>
    <t>Envelope (logo and return address)</t>
  </si>
  <si>
    <t>Envelope (logo, return address, photo/tagline)</t>
  </si>
  <si>
    <t>Envelope (Regular BRE)</t>
  </si>
  <si>
    <t>Envelope (Regular CRE)</t>
  </si>
  <si>
    <t>Envelope (Remit reply)</t>
  </si>
  <si>
    <t>Letter, one side - no photos</t>
  </si>
  <si>
    <t>Letter, one side - photo(s)</t>
  </si>
  <si>
    <t>Letter, two sides - no photos</t>
  </si>
  <si>
    <t>Letter, two sides - photo(s)</t>
  </si>
  <si>
    <t>Letter, one side - no photos, includes tear off reply form</t>
  </si>
  <si>
    <t>Letter, one side - photo(s), includes tear off reply form</t>
  </si>
  <si>
    <t>Letter, two sides - no photos, includes tear off reply form</t>
  </si>
  <si>
    <t>Letter, two sides - photo(s), includes tear off reply form</t>
  </si>
  <si>
    <t>Logo</t>
  </si>
  <si>
    <t>Logo withTag Line</t>
  </si>
  <si>
    <t>Newsletter - 2 pages</t>
  </si>
  <si>
    <t>Newsletter - 4 pages</t>
  </si>
  <si>
    <t>Postcard - B&amp;W</t>
  </si>
  <si>
    <t>Postcard - Color</t>
  </si>
  <si>
    <t>Rackcard - B&amp;W</t>
  </si>
  <si>
    <t>Rackcard - Color</t>
  </si>
  <si>
    <t>Reply card - 1 side</t>
  </si>
  <si>
    <t>Reply card - 2 sides</t>
  </si>
  <si>
    <t>Reply form - 1 side</t>
  </si>
  <si>
    <t>Reply form - 2 sides</t>
  </si>
  <si>
    <t>Social Media Post</t>
  </si>
  <si>
    <t>High End Client Pricing (Navy SEALS)</t>
  </si>
  <si>
    <t>Price Paid to Copywriter for High End Work</t>
  </si>
  <si>
    <t>Pricing Last Updated:</t>
  </si>
  <si>
    <t>Paper Last Updated:</t>
  </si>
  <si>
    <t>Revision Suggestions</t>
  </si>
  <si>
    <t>DATA PROCESSING</t>
  </si>
  <si>
    <t>RUSH</t>
  </si>
  <si>
    <t>PROOF</t>
  </si>
  <si>
    <t>SCAN</t>
  </si>
  <si>
    <t>EDIT</t>
  </si>
  <si>
    <t>DATAENTRY</t>
  </si>
  <si>
    <t>quoted per job</t>
  </si>
  <si>
    <t>$2/ea.</t>
  </si>
  <si>
    <t>$1/ea.</t>
  </si>
  <si>
    <t>$85/hr</t>
  </si>
  <si>
    <t>LIST</t>
  </si>
  <si>
    <t>cost times 2</t>
  </si>
  <si>
    <t>List Rental: Mailer's Haven</t>
  </si>
  <si>
    <t>DATA PROCESSING WITH PER PIECE RATES</t>
  </si>
  <si>
    <t>≥ 1</t>
  </si>
  <si>
    <t>≥ 10,000</t>
  </si>
  <si>
    <t>≥ 20,000</t>
  </si>
  <si>
    <t>≥ 25,000</t>
  </si>
  <si>
    <t>≥ 50,000</t>
  </si>
  <si>
    <t>≥ 75,000</t>
  </si>
  <si>
    <t>≥ 100,000</t>
  </si>
  <si>
    <t>≥ 150,000</t>
  </si>
  <si>
    <t>cost times 1.6</t>
  </si>
  <si>
    <t>Discount Level</t>
  </si>
  <si>
    <t>Level A</t>
  </si>
  <si>
    <t>Level B</t>
  </si>
  <si>
    <t>Break 1</t>
  </si>
  <si>
    <t>Break 2</t>
  </si>
  <si>
    <t>Break 3</t>
  </si>
  <si>
    <t>Break 4</t>
  </si>
  <si>
    <t>Break 5</t>
  </si>
  <si>
    <t>Break 6</t>
  </si>
  <si>
    <t>Break 7</t>
  </si>
  <si>
    <t>Break 8</t>
  </si>
  <si>
    <t>Break 9</t>
  </si>
  <si>
    <t>Break 10</t>
  </si>
  <si>
    <t>Level C</t>
  </si>
  <si>
    <t>Level D</t>
  </si>
  <si>
    <t>Level E</t>
  </si>
  <si>
    <t>Level F</t>
  </si>
  <si>
    <t>Jump To:</t>
  </si>
  <si>
    <t>LETTERSHOP</t>
  </si>
  <si>
    <t>≥ 5,000</t>
  </si>
  <si>
    <t>≥ 15,000</t>
  </si>
  <si>
    <t>≥ 35,000</t>
  </si>
  <si>
    <t>Set Up</t>
  </si>
  <si>
    <t>SETADDRESS/ADDENVELOPE</t>
  </si>
  <si>
    <t>SETADDRESS/ADDRESPONSE</t>
  </si>
  <si>
    <t>SETADDRESS/ADDPC</t>
  </si>
  <si>
    <t>SETADDRESS/ADDOSPC</t>
  </si>
  <si>
    <t>SETADDRESS/ADDFSM</t>
  </si>
  <si>
    <t>SETADDRESS/ADDBKLT</t>
  </si>
  <si>
    <t>SETADDRESS/ADDFLAT</t>
  </si>
  <si>
    <t>ENDORSE</t>
  </si>
  <si>
    <t>SETSTAMP/STAMP</t>
  </si>
  <si>
    <t>SETMESSAGE/MESSAGE</t>
  </si>
  <si>
    <t>SETPERMIT/PERMIT</t>
  </si>
  <si>
    <t>SETRETURN/RETURN</t>
  </si>
  <si>
    <t>LETTERSHOP: BUSKRO INKJETTING</t>
  </si>
  <si>
    <t>SETINSERT/INSERT</t>
  </si>
  <si>
    <t>SETMATCH/MATCH</t>
  </si>
  <si>
    <t>2 WAY MATCH: 1 - 2 Inserts into #10</t>
  </si>
  <si>
    <t>2 WAY MATCH: 3 - 4 Inserts into #10</t>
  </si>
  <si>
    <t>2 WAY MATCH: 5 - 6 Inserts into #10</t>
  </si>
  <si>
    <t>2 WAY MATCH: 1 - 2 Inserts into 6 x 9(9.5) or Machinable A-7</t>
  </si>
  <si>
    <t>2 WAY MATCH: 3 - 4 Inserts into 6 x 9(9.5) or Machinable A-7</t>
  </si>
  <si>
    <t>2 WAY MATCH: 5 - 6 Inserts into 6 x 9(9.5) or Machinable A-7</t>
  </si>
  <si>
    <t>3 WAY MATCH: 1 - 2 Inserts into #10</t>
  </si>
  <si>
    <t>3 WAY MATCH: 3 - 4 Inserts into #10</t>
  </si>
  <si>
    <t>3 WAY MATCH: 5 - 6 Inserts into #10</t>
  </si>
  <si>
    <t>3 WAY MATCH: 1 - 2 Inserts into 6 x 9(9.5) or Machinable A-7</t>
  </si>
  <si>
    <t>3 WAY MATCH: 3 - 4 Inserts into 6 x 9(9.5) or Machinable A-7</t>
  </si>
  <si>
    <t>3 WAY MATCH: 5 - 6 Inserts into 6 x 9(9.5) or Machinable A-7</t>
  </si>
  <si>
    <t>NO MATCH: 1 - 2 Inserts into #10 or #11</t>
  </si>
  <si>
    <t>NO MATCH: 3 - 4 Inserts into #10 or #11</t>
  </si>
  <si>
    <t>NO MATCH: 5 - 6 Inserts into #10 or #11</t>
  </si>
  <si>
    <t>NO MATCH: 1 - 2 Inserts into 6 x 9(9.5) or Machinable A-7</t>
  </si>
  <si>
    <t>NO MATCH: 3 - 4 Inserts into 6 x 9(9.5) or Machinable A-7</t>
  </si>
  <si>
    <t>NO MATCH: 5 - 6 Inserts into 6 x 9(9.5) or Machinable A-7</t>
  </si>
  <si>
    <t>NO MATCH: 1 - 2 Inserts into 9 x 12</t>
  </si>
  <si>
    <t>NO MATCH: 3 - 4 Inserts into 9 x 12</t>
  </si>
  <si>
    <t>NO MATCH: 5 - 6 Inserts  into 9 x 12</t>
  </si>
  <si>
    <t>LETTERSHOP: INSERTING AND FOLDING</t>
  </si>
  <si>
    <t>SETFOLD/FOLD</t>
  </si>
  <si>
    <t>LETTERSHOP:  CUTTING</t>
  </si>
  <si>
    <t>Set up Cut if we are not printing</t>
  </si>
  <si>
    <t>1 Cut/m if we are not printing</t>
  </si>
  <si>
    <t>2 Cuts/m if we are not printing</t>
  </si>
  <si>
    <t>LETTERSHOP:  TABBING</t>
  </si>
  <si>
    <t>Level G</t>
  </si>
  <si>
    <t>SETTABONLY/TABONLY</t>
  </si>
  <si>
    <t>1 Pass: 1 Tab</t>
  </si>
  <si>
    <t>SETFOR</t>
  </si>
  <si>
    <t>PROCESS</t>
  </si>
  <si>
    <t>ADD</t>
  </si>
  <si>
    <t>STAMPFOREIGN</t>
  </si>
  <si>
    <t>METERFOREIGN</t>
  </si>
  <si>
    <t>FOREIGN</t>
  </si>
  <si>
    <t>25+ Pieces: Supply Envelope/m  #10</t>
  </si>
  <si>
    <t>25+ Pieces: Supply Envelope/m  6x9</t>
  </si>
  <si>
    <t>25+ Pieces: Supply Envelope/m 9x12</t>
  </si>
  <si>
    <t>25+ Pieces: Supply Envelope/m 10x13</t>
  </si>
  <si>
    <t>FULFILLMENT/HANDWORK</t>
  </si>
  <si>
    <t>HAND</t>
  </si>
  <si>
    <t>METERTAPE</t>
  </si>
  <si>
    <t>Discount</t>
  </si>
  <si>
    <r>
      <t xml:space="preserve">AND, Enter </t>
    </r>
    <r>
      <rPr>
        <b/>
        <i/>
        <sz val="10"/>
        <rFont val="Arial"/>
        <family val="2"/>
      </rPr>
      <t>number up</t>
    </r>
    <r>
      <rPr>
        <b/>
        <sz val="10"/>
        <rFont val="Arial"/>
        <family val="2"/>
      </rPr>
      <t xml:space="preserve"> for client supplied or special order paper</t>
    </r>
  </si>
  <si>
    <t>Quote Number</t>
  </si>
  <si>
    <t>Job Number</t>
  </si>
  <si>
    <t>80# Sterling gloss cover</t>
  </si>
  <si>
    <t>Choose Envelope Stock Source</t>
  </si>
  <si>
    <t>Envelope Specification</t>
  </si>
  <si>
    <t>Enter Price/M for Special Order or Printout</t>
  </si>
  <si>
    <t>Side 1 Color Specification and Coverage</t>
  </si>
  <si>
    <t>Side 2 Color Specification and Coverage</t>
  </si>
  <si>
    <t>Impression Cost</t>
  </si>
  <si>
    <t>EnvType</t>
  </si>
  <si>
    <t>Run Rate per side</t>
  </si>
  <si>
    <t>% of time</t>
  </si>
  <si>
    <t>flap folding rate</t>
  </si>
  <si>
    <t>#6-3/4 regular, 24# ww</t>
  </si>
  <si>
    <t>#6-3/4 remit, 24# ww</t>
  </si>
  <si>
    <t>#6 booklet, 24# ww (5-3/4x8-7/8)</t>
  </si>
  <si>
    <t>Bar #4, 24#ww</t>
  </si>
  <si>
    <t>A-2 insertable flap, 24#ww</t>
  </si>
  <si>
    <t>A-2 standard flap, 70# HiTech</t>
  </si>
  <si>
    <t>A-6 standard flap, 70# HiTech</t>
  </si>
  <si>
    <t>A-6 insertable flap, 24#ww</t>
  </si>
  <si>
    <t>A-7 standard flap, 70# HiTech</t>
  </si>
  <si>
    <t>A-7 insertable flap, 24# ww</t>
  </si>
  <si>
    <t xml:space="preserve">A-7 Classic Crest Natural White 70# </t>
  </si>
  <si>
    <t>A-9 standard flap, 70# HiTech</t>
  </si>
  <si>
    <t>#9 regular, 24# ww</t>
  </si>
  <si>
    <t>#9 Classic Crest Natural White 70#</t>
  </si>
  <si>
    <t>#9 remit, 24# ww</t>
  </si>
  <si>
    <t>#10 Bright White Finch Opaque 60#</t>
  </si>
  <si>
    <t>#10 Classic Crest Natural White 70#</t>
  </si>
  <si>
    <t>#10 Classic Crest Avon Brilliant White 24#</t>
  </si>
  <si>
    <t>#10 regular, 24# ww</t>
  </si>
  <si>
    <t>#10 window, 24# ww</t>
  </si>
  <si>
    <t>#11 regular, 24# ww</t>
  </si>
  <si>
    <t>6 x 9 regular, 24# ww</t>
  </si>
  <si>
    <t>6 x 9.5 regular, 24# ww</t>
  </si>
  <si>
    <t>6.5 x 9.5 regular, 24#ww</t>
  </si>
  <si>
    <t>9 x 12 booklet, 24# ww</t>
  </si>
  <si>
    <t>10 x 13 booklet, 24# ww</t>
  </si>
  <si>
    <t>9 x 12 booklet, 24# BriteHue Red</t>
  </si>
  <si>
    <t>EnvVar</t>
  </si>
  <si>
    <t>Price Adder</t>
  </si>
  <si>
    <t>Variable Color Images</t>
  </si>
  <si>
    <t>Markup</t>
  </si>
  <si>
    <t>Five Maples Stock</t>
  </si>
  <si>
    <t>Five M. Special Order</t>
  </si>
  <si>
    <t>EnvSource</t>
  </si>
  <si>
    <t>Color</t>
  </si>
  <si>
    <t>Five maples stock</t>
  </si>
  <si>
    <t/>
  </si>
  <si>
    <t>Holiday Card (single or folded) - no image or client supplied image</t>
  </si>
  <si>
    <t>Holiday Card (single or folded) - Five Maples sources image</t>
  </si>
  <si>
    <t>Newsletter / Donor Impact Report - 2 pages</t>
  </si>
  <si>
    <t>Donor Impact Report/Newsletter - 2 pages</t>
  </si>
  <si>
    <t>Newsletter / Donor Impact Report - 4 pages</t>
  </si>
  <si>
    <t>Donor Impact Report/Newsletter - 4 pages</t>
  </si>
  <si>
    <t>Newsletter / Donor Impact Report - 8 pages</t>
  </si>
  <si>
    <t>Newsletter / Donor Impact Report - 8+ pages</t>
  </si>
  <si>
    <t>See Jillian</t>
  </si>
  <si>
    <t>Infographic (Rack Card Size)</t>
  </si>
  <si>
    <t>Postcard / Rackcard</t>
  </si>
  <si>
    <t>$115/hr</t>
  </si>
  <si>
    <t>Total Price</t>
  </si>
  <si>
    <t>Project Details</t>
  </si>
  <si>
    <t>Qty</t>
  </si>
  <si>
    <t>RTC Quantity</t>
  </si>
  <si>
    <t>Setup Price</t>
  </si>
  <si>
    <t>Piece Qty</t>
  </si>
  <si>
    <t>Price Ea.</t>
  </si>
  <si>
    <t>Set Up QTY</t>
  </si>
  <si>
    <t>LETTERSHOP: ADDRESSING</t>
  </si>
  <si>
    <t>1. TOP</t>
  </si>
  <si>
    <t>2. DATA PROCESSING</t>
  </si>
  <si>
    <t>3. DATA PROCESSING WITH PER PIECE RATES</t>
  </si>
  <si>
    <t>4. LETTERSHOP</t>
  </si>
  <si>
    <t>5. LETTERSHOP: ADDRESSING</t>
  </si>
  <si>
    <t>6. LETTERSHOP: BUSKRO INKJETTING</t>
  </si>
  <si>
    <t>7. LETTERSHOP: INSERTING AND FOLDING</t>
  </si>
  <si>
    <t>8. LETTERSHOP:  CUTTING</t>
  </si>
  <si>
    <t>9. LETTERSHOP:  TABBING</t>
  </si>
  <si>
    <t>10. FOREIGN</t>
  </si>
  <si>
    <t>11. FULFILLMENT/HANDWORK</t>
  </si>
  <si>
    <t>Newsletters in envelopes-one per mailing</t>
  </si>
  <si>
    <t>Load Files</t>
  </si>
  <si>
    <t>Presort</t>
  </si>
  <si>
    <t>Set Letter Merge</t>
  </si>
  <si>
    <t xml:space="preserve">Additional DP work </t>
  </si>
  <si>
    <t>$75 per hour</t>
  </si>
  <si>
    <t>Print Merged Letter, 8.5 x 11, 1/0, client stock, PDF proof</t>
  </si>
  <si>
    <t>Print newsletters</t>
  </si>
  <si>
    <t>per pricing program</t>
  </si>
  <si>
    <t>Setup Reply card Merge</t>
  </si>
  <si>
    <t>Setup Addressing with PDF Proof</t>
  </si>
  <si>
    <t>Address Envelope - Laser Quality</t>
  </si>
  <si>
    <t>Setup Return Address with PDF Proof</t>
  </si>
  <si>
    <t>Print Return address, proof required</t>
  </si>
  <si>
    <t>Setup Stamp</t>
  </si>
  <si>
    <t>Apply Stamps</t>
  </si>
  <si>
    <t>Setup Reply Card Addressing with PDF Proof</t>
  </si>
  <si>
    <t>Address Reply Card, with codes</t>
  </si>
  <si>
    <t>Setup Match Inserting</t>
  </si>
  <si>
    <t>Match Envelope, Letter and Reply Card; Insert letter reply card and reply envelope</t>
  </si>
  <si>
    <t>Insert, no match</t>
  </si>
  <si>
    <t>Setup Fold</t>
  </si>
  <si>
    <t>Fold: letter</t>
  </si>
  <si>
    <t>Fold: newsletter to fit #10</t>
  </si>
  <si>
    <t>Use Price List</t>
  </si>
  <si>
    <t>Set up Foreign</t>
  </si>
  <si>
    <t>Foreign Envelope Addressing Proof if qty &lt;15</t>
  </si>
  <si>
    <t>Process Foreign if less than 25 (EACH)</t>
  </si>
  <si>
    <t>Hand Apply Foreign Stamps</t>
  </si>
  <si>
    <t>Static Letter Printing - Qty less than 500</t>
  </si>
  <si>
    <t>Client Stock</t>
  </si>
  <si>
    <t>Mailrite Stock</t>
  </si>
  <si>
    <t>8.5 x 11, K/0</t>
  </si>
  <si>
    <t>8.5 x 11, K/K</t>
  </si>
  <si>
    <t xml:space="preserve">Supply #10 Envelopes </t>
  </si>
  <si>
    <t>$75/m</t>
  </si>
  <si>
    <t>If&lt;15 charge $15 for Add Proof</t>
  </si>
  <si>
    <t>Address FSM</t>
  </si>
  <si>
    <t>SPECIAL PRICING:  DARTMOUTH</t>
  </si>
  <si>
    <t>revised: 6/28/18</t>
  </si>
  <si>
    <t>0.042 for 1/0
0.053 for 1/1</t>
  </si>
  <si>
    <t>First two letters $140
Each additional letter $25</t>
  </si>
  <si>
    <t>Class Agent Mailings
Single Letter</t>
  </si>
  <si>
    <t>Class Agent Mailings
Multiple Letters</t>
  </si>
  <si>
    <t>Large Mailings 
per standard price list</t>
  </si>
  <si>
    <t>Hadley, Springfield Printing &amp; NE Duplicator:</t>
  </si>
  <si>
    <t>Freedom Publication Pricing</t>
  </si>
  <si>
    <t>Williams College</t>
  </si>
  <si>
    <t>List Price</t>
  </si>
  <si>
    <t>Hadley/SPC Price</t>
  </si>
  <si>
    <t>Service</t>
  </si>
  <si>
    <t>Load File</t>
  </si>
  <si>
    <t>Okemo/BF/Springfield</t>
  </si>
  <si>
    <t>Mount Snow</t>
  </si>
  <si>
    <t>Addison</t>
  </si>
  <si>
    <t>CASS &amp; DPV</t>
  </si>
  <si>
    <t>List Rental - xx towns CD &amp; POB</t>
  </si>
  <si>
    <t>Postcards:</t>
  </si>
  <si>
    <t>Flat Rate Per Piece Pricing</t>
  </si>
  <si>
    <t>CASS, DPV and Presort Lists</t>
  </si>
  <si>
    <t>NCOA-set up and return</t>
  </si>
  <si>
    <t>Select Records (if needed)</t>
  </si>
  <si>
    <t>0-999</t>
  </si>
  <si>
    <t>Prepare Postal paperwork-XXX Towns</t>
  </si>
  <si>
    <t>1000-2499</t>
  </si>
  <si>
    <t>Setup for Folding</t>
  </si>
  <si>
    <t>Set Addressing</t>
  </si>
  <si>
    <t>2500-4999</t>
  </si>
  <si>
    <t>Setup for Not Folding</t>
  </si>
  <si>
    <t>Address DALS</t>
  </si>
  <si>
    <t>Set up of $100 plus per piece</t>
  </si>
  <si>
    <t>5000+</t>
  </si>
  <si>
    <t>Hand: Count Books and Cards</t>
  </si>
  <si>
    <t>Prepress Services</t>
  </si>
  <si>
    <t>Sophomore Intro:</t>
  </si>
  <si>
    <t>Print: 4.25 x 5.5 67# WHITE CARD STOCK; 1/1 PRESORT STD DAL</t>
  </si>
  <si>
    <t>Deliver to SCF</t>
  </si>
  <si>
    <t>Price per piece</t>
  </si>
  <si>
    <t>ADVERTIZERS -  1 copy (or two copies on OkemoSprBF)</t>
  </si>
  <si>
    <t>Viewbooks</t>
  </si>
  <si>
    <t>Select Records - if needed</t>
  </si>
  <si>
    <t>&lt;200</t>
  </si>
  <si>
    <t>$155 flat rate</t>
  </si>
  <si>
    <t>Prepare NDC/SCF entry</t>
  </si>
  <si>
    <t>per delivery</t>
  </si>
  <si>
    <t>Cass, DPV and Presort List</t>
  </si>
  <si>
    <t>200-700</t>
  </si>
  <si>
    <t>Deliver by car to Springfield SCF</t>
  </si>
  <si>
    <t>Set up Label Printing</t>
  </si>
  <si>
    <t>700-4,999</t>
  </si>
  <si>
    <t>Deliver by truck to Springfield SCF</t>
  </si>
  <si>
    <t>per pallet</t>
  </si>
  <si>
    <t>Print PS Labels</t>
  </si>
  <si>
    <t>5000-14,999</t>
  </si>
  <si>
    <t>Common carrier delivery</t>
  </si>
  <si>
    <t>Set up Hand Work</t>
  </si>
  <si>
    <t>15000+</t>
  </si>
  <si>
    <t>Per piece charges: use the 2 higher volume discounts from the price list</t>
  </si>
  <si>
    <t>Supply &amp; Label 9x12 Poly Envelope and Insert letter &amp; book</t>
  </si>
  <si>
    <t>Setup Printing</t>
  </si>
  <si>
    <t>RC Brayshaw: no discounts unless quoting Dartmouth</t>
  </si>
  <si>
    <t>Print Letter - 8.5 x 11 - 60# White - 1/0</t>
  </si>
  <si>
    <t>Handwork is never discounted</t>
  </si>
  <si>
    <t>Fold: Letter to 5.5 x 8.5</t>
  </si>
  <si>
    <t>Smith College Alumnae Fund Variable Letter and Remit Pricing</t>
  </si>
  <si>
    <t>Smith gets standard price list pricing except for the following prices that</t>
  </si>
  <si>
    <t>apply to all their mailer merge letters and remits irrespective of quantity</t>
  </si>
  <si>
    <t>price each</t>
  </si>
  <si>
    <t>print merged letter, 8.5 x 11, 1/0, client stock</t>
  </si>
  <si>
    <t>print merged letter, 8.5 x 11, 1/1, client stock</t>
  </si>
  <si>
    <t>first file</t>
  </si>
  <si>
    <t>print merged reply form, 8.5 x 11, 2/0, client stock</t>
  </si>
  <si>
    <t>each additional file</t>
  </si>
  <si>
    <t>cut merged reply form from 8.5 x 11 to 8.5 x 7</t>
  </si>
  <si>
    <t>/1000</t>
  </si>
  <si>
    <t>Conservation Coalition Pricing</t>
  </si>
  <si>
    <t>/1000   Minimum of $30</t>
  </si>
  <si>
    <t>/1000  Minimum of $15</t>
  </si>
  <si>
    <t>Minimum Charge:</t>
  </si>
  <si>
    <t>each code field</t>
  </si>
  <si>
    <t>per job</t>
  </si>
  <si>
    <t>Price/M</t>
  </si>
  <si>
    <t>per hour; Minimum of $65</t>
  </si>
  <si>
    <t>Minimum DP Charge</t>
  </si>
  <si>
    <t>per file</t>
  </si>
  <si>
    <t>per shipment</t>
  </si>
  <si>
    <t>Load File - first file</t>
  </si>
  <si>
    <t>Load File - additional files</t>
  </si>
  <si>
    <t>0-25M</t>
  </si>
  <si>
    <t>26M-50M</t>
  </si>
  <si>
    <t>50M+</t>
  </si>
  <si>
    <t>Dedupe/Suppress or Select</t>
  </si>
  <si>
    <t>Generate/export report:</t>
  </si>
  <si>
    <t>Hourly editing charge</t>
  </si>
  <si>
    <t>Address &amp; Insert $10</t>
  </si>
  <si>
    <t>0-10,000</t>
  </si>
  <si>
    <t>10,000+</t>
  </si>
  <si>
    <t>Notes</t>
  </si>
  <si>
    <t>1 pallet, plus $25 per additiona pallet</t>
  </si>
  <si>
    <t>consider printing a shell; overall cost may be lower</t>
  </si>
  <si>
    <t>Explanation</t>
  </si>
  <si>
    <t>price may be uncompetitive; get a print out quote to compare</t>
  </si>
  <si>
    <t>markup is less than 1.5; either get a printout quote, consider printing a shell, or discuss with Gary</t>
  </si>
  <si>
    <t>Printing and PrintingEnv tested and working properly-no conditional formatting set yet</t>
  </si>
  <si>
    <t>low markup; get a print out quote to compare</t>
  </si>
  <si>
    <t>More than 8 hrs to print, consider print out</t>
  </si>
  <si>
    <t>conditional formatting for PrintingEnvs-working for 8+hrs</t>
  </si>
  <si>
    <t>conditional formatting for Printing works</t>
  </si>
  <si>
    <t>conditonal formatting for all of PrintingEnvs working</t>
  </si>
  <si>
    <t>Last Update:</t>
  </si>
  <si>
    <t>$85/hr.</t>
  </si>
  <si>
    <t>Flat size: Up to 3 oz.</t>
  </si>
  <si>
    <t>Flat Size: 3 - 4 oz.</t>
  </si>
  <si>
    <t>Flat Size: 4 - 6 oz.</t>
  </si>
  <si>
    <t>Flat Size: 6 - 8 oz.</t>
  </si>
  <si>
    <t>Flat Size: 8 - 10 oz.</t>
  </si>
  <si>
    <t>WAREHOUSE</t>
  </si>
  <si>
    <t>12. WAREHOUSE</t>
  </si>
  <si>
    <t>1</t>
  </si>
  <si>
    <t>2</t>
  </si>
  <si>
    <t>3</t>
  </si>
  <si>
    <t>4</t>
  </si>
  <si>
    <t>BMC (in DP)</t>
  </si>
  <si>
    <t>NDC/SCF-CLIENT KEEPS THE SAVINGS</t>
  </si>
  <si>
    <t>Trucking Charge</t>
  </si>
  <si>
    <t>NDC/SCF-FIVE MAPLES KEEPS THE SAVINGS</t>
  </si>
  <si>
    <t xml:space="preserve">   Billing Postage: Bill the FULL COST taken from the Destination Summary Report supplied by DP.</t>
  </si>
  <si>
    <t>BMC (in Warehouse)</t>
  </si>
  <si>
    <t>Discovered that pricing will throw an error if Prices 2.0 is open</t>
  </si>
  <si>
    <t>Per Hour for Additional Work</t>
  </si>
  <si>
    <t>Load Each Additional File or Tab</t>
  </si>
  <si>
    <t>Include Second Name Fields</t>
  </si>
  <si>
    <t>Return Mail File to Client for Review</t>
  </si>
  <si>
    <t>Reload File</t>
  </si>
  <si>
    <t>Generate Distribution Report and Return to Client</t>
  </si>
  <si>
    <t>Setup Master Suppression File</t>
  </si>
  <si>
    <t>Update Master Suppression File</t>
  </si>
  <si>
    <t xml:space="preserve">Additional Postal Paperwork </t>
  </si>
  <si>
    <t>Include Code/Constant</t>
  </si>
  <si>
    <t>Export New Typeface to Inkjet</t>
  </si>
  <si>
    <t>Export Graphic for Inkjetting</t>
  </si>
  <si>
    <t>Export Signature for Inkjetting</t>
  </si>
  <si>
    <t>Sort for Single Piece Rate</t>
  </si>
  <si>
    <t>NCOA Setup and Return to Client</t>
  </si>
  <si>
    <t>Physical Proof to Client</t>
  </si>
  <si>
    <t>Scan and Clean Signature/Graphic</t>
  </si>
  <si>
    <t>Setup Variable Message for Inkjetting</t>
  </si>
  <si>
    <t>Setup Data Entry</t>
  </si>
  <si>
    <t>List Rental: Third Party Lists</t>
  </si>
  <si>
    <t>Setup Mail Merge--Weekly or Biweekly, Same Letter</t>
  </si>
  <si>
    <t>Setup Mail Merge--8.5 x 14 with tear off</t>
  </si>
  <si>
    <t>Wallet Booklets or FSM--1 Leading, 1 Trailing</t>
  </si>
  <si>
    <t>Setup Mail Merge--Monthly or Quarterly, Same Letter</t>
  </si>
  <si>
    <t>Setup Mail Merge--1st Version</t>
  </si>
  <si>
    <t>Setup Mail Merge--Each Additional Version</t>
  </si>
  <si>
    <t>Select Records: (Including Cut List)</t>
  </si>
  <si>
    <t>Setup Database Management</t>
  </si>
  <si>
    <t>Data Entry per Record (Add, Edit, Delete):  $0.50-$1.00/ea.</t>
  </si>
  <si>
    <t>Add/Delete 1-5 Names--Before Presort</t>
  </si>
  <si>
    <t>Add/Delete 5+ Names--Before Presort</t>
  </si>
  <si>
    <t>Add 1 Name--After Presort but Before Printing/Addressing</t>
  </si>
  <si>
    <t>Remove 1 Name--After Presort but Before Mailing is Trayed</t>
  </si>
  <si>
    <t>Each Additional Name Added--After Presort but Before Printing/Addressing</t>
  </si>
  <si>
    <t>Each Additional Name Removed--After Presort but Before Printing/Addressing</t>
  </si>
  <si>
    <t>Remove Names--After Mailing is Trayed</t>
  </si>
  <si>
    <t>NCOA per Piece</t>
  </si>
  <si>
    <t>Postal Presort with Track &amp; Trace®</t>
  </si>
  <si>
    <t>Review Salutations</t>
  </si>
  <si>
    <t>Create Salutation</t>
  </si>
  <si>
    <t>Code Ask Strings--One Generic Set</t>
  </si>
  <si>
    <t>Code Ask Strings--from Five Maples Standard Table</t>
  </si>
  <si>
    <t>Code Ask Strings--from Custom Table</t>
  </si>
  <si>
    <t>Code Annual Giving Checkmarks</t>
  </si>
  <si>
    <t>BCC Services--Add Walk Sequence Numbers (DSF2 processing)</t>
  </si>
  <si>
    <t>BCC Services--Deceased Screening</t>
  </si>
  <si>
    <t>BCC Services--DMA Do-Not-Mail Suppression</t>
  </si>
  <si>
    <t>BCC Services--Combined Deceased and DMA Do-Not-Mail</t>
  </si>
  <si>
    <t>BCC Services--Address Resolution Processing</t>
  </si>
  <si>
    <t>PDF Proof to Client</t>
  </si>
  <si>
    <t>Additional PDF Proof to Client--Client Changes</t>
  </si>
  <si>
    <t>Job interruption - Short Pieces, Wait for Add'l Inventory</t>
  </si>
  <si>
    <t>Short Pieces, Cut Mailing, Resort</t>
  </si>
  <si>
    <t>Laser Quality Address</t>
  </si>
  <si>
    <t>Address with Handwriting Font--Black</t>
  </si>
  <si>
    <t>Address with Handwriting Font--Blue</t>
  </si>
  <si>
    <t>Regular Address-200 DPI--#10, 6 x 9</t>
  </si>
  <si>
    <t>Regular Address-200 DPI--9 x12, 10 x 13 Envelope</t>
  </si>
  <si>
    <t>Address Response Form or Buckslip</t>
  </si>
  <si>
    <t>Postcard--up to 4.25 x 6</t>
  </si>
  <si>
    <t>Oversized Postcard--larger than 4.25 x 6</t>
  </si>
  <si>
    <t>FSM or QFSM ≤1 oz. --2 Top--1" Tabs</t>
  </si>
  <si>
    <t>FSM &gt;1 oz.--2 Top--1.5" Tabs</t>
  </si>
  <si>
    <t>QFSM &gt;1 oz. --2 Top, 1 Trailing--1.5" Tabs</t>
  </si>
  <si>
    <t>FSM ≤1 oz.--1 Top, 1 Leading--1" Tabs</t>
  </si>
  <si>
    <t>FSM &gt;1 oz.--1 Top, 1 Leading--1.5" Tabs</t>
  </si>
  <si>
    <t>FSM Newsprint ≤1 oz. --2 Top--1.5" Tabs</t>
  </si>
  <si>
    <t>FSM Newsprint &gt;1 oz. --2 Leading, 1 Top--1.5" Tabs</t>
  </si>
  <si>
    <t>FSM ≤1 oz., final panel=address--2 Top, 1 Leading--1" Tabs</t>
  </si>
  <si>
    <t>FSM &gt;1 oz., final panel=address--2 Top, 1 Leading--1.5" Tabs</t>
  </si>
  <si>
    <t>Oblong FSM  ≤1 oz. --1 Top, 1 Trailing--1" Tabs</t>
  </si>
  <si>
    <t>Oblong FSM,  ≤1 oz.--2 Trailing--1" Tabs</t>
  </si>
  <si>
    <t>Oblong FSM &gt;1 oz.--1 Top, 1 Trailing--1.5" Tabs</t>
  </si>
  <si>
    <t>Booklets--2 Leading, 1 Trailing--1.5" Tabs</t>
  </si>
  <si>
    <t>Booklets (spine leading edge)--2 Top, 1 Trailing--1.5" Tabs</t>
  </si>
  <si>
    <t>Inkjet Endorsement</t>
  </si>
  <si>
    <t>Inkjet FIM/Barcode</t>
  </si>
  <si>
    <t>Affix Stamp</t>
  </si>
  <si>
    <t>Inkjet Signature w/PDF Proof--Black</t>
  </si>
  <si>
    <t>Inkjet Signature w/PDF Proof--1 Head--Blue</t>
  </si>
  <si>
    <t>Inkjet Message w/PDF Proof--Black</t>
  </si>
  <si>
    <t>Inkjet Message w/PDF Proof--1 Head--Color</t>
  </si>
  <si>
    <t>Inkjet Message w/PDF Proof--2 Heads--Color</t>
  </si>
  <si>
    <t>Inkjet Variable Message w/PDF Proof--Black</t>
  </si>
  <si>
    <t>Inkjet Variable Message w/PDF Proof--2 Heads--Color</t>
  </si>
  <si>
    <t>Inkjet Variable Message w/PDF Proof--4 Heads--Color</t>
  </si>
  <si>
    <t>Inkjet Permit</t>
  </si>
  <si>
    <t>Inkjet Return Address</t>
  </si>
  <si>
    <t>Quarter Fold 11 x 17 to 5.5 x 8.5</t>
  </si>
  <si>
    <t>Bi-Fold Plus Tri-Fold--11 x 17 to fit #10</t>
  </si>
  <si>
    <t>Fold Flap on Reply Envelope</t>
  </si>
  <si>
    <t>Fold Reply Envelope in Half for Nesting or Inserting</t>
  </si>
  <si>
    <t>1 Pass: 2 Tabs on the Same Side</t>
  </si>
  <si>
    <t>2 Passes: 1 Tab on Each Side</t>
  </si>
  <si>
    <t>2 Passes: 2 Tabs on One Side, 1 Tab on Second Side</t>
  </si>
  <si>
    <t>3 Passes: 1 Tab on Each Side</t>
  </si>
  <si>
    <t>3 Passes: 2 Tabs on One Side, 1 Tab on the 2nd and 3rd Sides</t>
  </si>
  <si>
    <t>&lt;5 Pieces:  Process Foreign--minimum</t>
  </si>
  <si>
    <t>5-24 Pieces: Process Foreign, Price Each</t>
  </si>
  <si>
    <t>25+ Pieces: Set up Foreign (25+ Pieces)</t>
  </si>
  <si>
    <t>25+ Pieces: Process Foreign/m (Hand Insert, Label, and Seal)</t>
  </si>
  <si>
    <t>Apply USPS First Class Foreign Stamp ≤ 1 oz.</t>
  </si>
  <si>
    <t>Apply USPS First Class Foreign Stamps &gt; 1 oz.</t>
  </si>
  <si>
    <t>Meter USPS First Class Foreign Postage</t>
  </si>
  <si>
    <t>Hand Collate--2 pcs/m</t>
  </si>
  <si>
    <t>Hand Nest--1 pc/m</t>
  </si>
  <si>
    <t>Hand Collate--Each Additional pc/m</t>
  </si>
  <si>
    <t>Hand Nest--Each Additional pc/m</t>
  </si>
  <si>
    <t>Hand Nest--6-3/4 Envelope into 1st Fold of Quarter Folded SM</t>
  </si>
  <si>
    <t>Hand Insert and Machine Seal--Letter Size--Each Additional pc/m</t>
  </si>
  <si>
    <t>Hand Insert and Machine Seal--Letter Size--1 pc/m</t>
  </si>
  <si>
    <t>Hand Insert and Machine Seal--Flat Size--1 piece/m</t>
  </si>
  <si>
    <t>Hand Insert and Machine Seal--Flat Size--Each Additional pc/m</t>
  </si>
  <si>
    <t>Hand Insert and Machine Seal Surcharge--Catalog Envelope/m</t>
  </si>
  <si>
    <t>Hand Insert and Seal Tyvec or Bubble Mailer--Letter Size/m</t>
  </si>
  <si>
    <t>Hand Insert and Seal Tyvec or Bubble Mailer--Flat Size/m</t>
  </si>
  <si>
    <t>Match--Envelope and 1 pc/m</t>
  </si>
  <si>
    <t>Match--Each Additional pc/m</t>
  </si>
  <si>
    <t>Label--Letter Sized Envelope/m</t>
  </si>
  <si>
    <t>Label--Large Envelope</t>
  </si>
  <si>
    <t>Stamp--Letter Size/m</t>
  </si>
  <si>
    <t>Stamp--Flat Size/m</t>
  </si>
  <si>
    <t>Stamp--Phone Book FLAT/m</t>
  </si>
  <si>
    <t>Stamp--Phone Book Parcel/m</t>
  </si>
  <si>
    <t>Presort--Letter Size/m</t>
  </si>
  <si>
    <t>Presort--Flat Size/m</t>
  </si>
  <si>
    <t>Hand Seal--Letter Size/m</t>
  </si>
  <si>
    <t>Hand Seal--Flat Size/m</t>
  </si>
  <si>
    <t>Hand Tray and Tag Mailing Addressed in DP: Letter Size/m</t>
  </si>
  <si>
    <t>Hand Tray and Tag Mailing Addressed in DP: Flat Size/m</t>
  </si>
  <si>
    <t>Setup Glue Dot</t>
  </si>
  <si>
    <t>1 Glue Dot/m</t>
  </si>
  <si>
    <t>Double Glue Dot/m</t>
  </si>
  <si>
    <t>Setup Sealing/Metering</t>
  </si>
  <si>
    <t>Seal &amp; Meter--Letter Size/m</t>
  </si>
  <si>
    <t>Seal &amp; Meter--Flat Size/m</t>
  </si>
  <si>
    <t>Setup Meter Tape</t>
  </si>
  <si>
    <t>Meter Tape--Letter Size/m</t>
  </si>
  <si>
    <t>Meter Tape--Flat Size/m</t>
  </si>
  <si>
    <t>Setup Polywrap</t>
  </si>
  <si>
    <t>Polywrap 1 pc/m</t>
  </si>
  <si>
    <t>Polywrap Slip Sheet and 1 pc/m</t>
  </si>
  <si>
    <t>Setup Polybag</t>
  </si>
  <si>
    <t>Polybag 1 pc/m</t>
  </si>
  <si>
    <t>Setup Clear Bag:--Add Clear Bag cost Times 1.3</t>
  </si>
  <si>
    <t>Clear Bag--1 pc/m (Includes Inserting/Sealing)</t>
  </si>
  <si>
    <t>≥ 20000</t>
  </si>
  <si>
    <t>≥ 10000</t>
  </si>
  <si>
    <t>≥ 25000</t>
  </si>
  <si>
    <t>≥ 30000</t>
  </si>
  <si>
    <t>≥ 50000</t>
  </si>
  <si>
    <t>≥ 75000</t>
  </si>
  <si>
    <t>≥ 100000</t>
  </si>
  <si>
    <t>≥ 150000</t>
  </si>
  <si>
    <t>Lettershop</t>
  </si>
  <si>
    <t>Lettershop Addressing</t>
  </si>
  <si>
    <t>Lettershop Buskro</t>
  </si>
  <si>
    <t>Lettershop Inserting and Folding</t>
  </si>
  <si>
    <t>List Quantity</t>
  </si>
  <si>
    <t>Mail Quantity</t>
  </si>
  <si>
    <t># of Letter Versions</t>
  </si>
  <si>
    <t># of Reply Versions</t>
  </si>
  <si>
    <t># of Insert Versions</t>
  </si>
  <si>
    <t># of Outer Envelope Versions</t>
  </si>
  <si>
    <t># of RTC Letter Versions</t>
  </si>
  <si>
    <t># of RTC Reply Versions</t>
  </si>
  <si>
    <t># of RTC Insert Versions</t>
  </si>
  <si>
    <t># of RTC Outer Envelope Versions</t>
  </si>
  <si>
    <t>Fold and Inserrt for RTC?</t>
  </si>
  <si>
    <t># of Foreign</t>
  </si>
  <si>
    <t>NCOA Quantity</t>
  </si>
  <si>
    <t>Dedupe Quantity</t>
  </si>
  <si>
    <t>Mailing Class</t>
  </si>
  <si>
    <t>$15/month</t>
  </si>
  <si>
    <t>+$11.00 for first box 
+$4.00 for each box 2-5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</si>
</sst>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00_);_(&quot;$&quot;* \(#,##0.000\);_(&quot;$&quot;* &quot;-&quot;??_);_(@_)"/>
    <numFmt numFmtId="165" formatCode="&quot;$&quot;#,##0.00"/>
    <numFmt numFmtId="166" formatCode="0.000"/>
    <numFmt numFmtId="167" formatCode="0.00000"/>
    <numFmt numFmtId="168" formatCode="0.000000000"/>
    <numFmt numFmtId="169" formatCode="0.000000"/>
    <numFmt numFmtId="170" formatCode="_(* #,##0_);_(* \(#,##0\);_(* &quot;-&quot;??_);_(@_)"/>
    <numFmt numFmtId="171" formatCode="0.0%"/>
    <numFmt numFmtId="172" formatCode="_(&quot;$&quot;* #,##0_);_(&quot;$&quot;* \(#,##0\);_(&quot;$&quot;* &quot;-&quot;??_);_(@_)"/>
    <numFmt numFmtId="173" formatCode="0.0000"/>
    <numFmt numFmtId="174" formatCode="_(&quot;$&quot;* #,##0.00000_);_(&quot;$&quot;* \(#,##0.00000\);_(&quot;$&quot;* &quot;-&quot;??_);_(@_)"/>
    <numFmt numFmtId="175" formatCode="0.00000000000000"/>
    <numFmt numFmtId="176" formatCode="_([$$-409]* #,##0.0000_);_([$$-409]* \(#,##0.0000\);_([$$-409]* &quot;-&quot;????_);_(@_)"/>
    <numFmt numFmtId="177" formatCode="_([$$-409]* #,##0.00000_);_([$$-409]* \(#,##0.00000\);_([$$-409]* &quot;-&quot;????_);_(@_)"/>
    <numFmt numFmtId="178" formatCode="_([$$-409]* #,##0.000000_);_([$$-409]* \(#,##0.000000\);_([$$-409]* &quot;-&quot;????_);_(@_)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0"/>
      <name val="Arial"/>
      <family val="2"/>
    </font>
    <font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Arial"/>
      <family val="2"/>
    </font>
    <font>
      <sz val="10"/>
      <color theme="8"/>
      <name val="Arial"/>
      <family val="2"/>
    </font>
    <font>
      <sz val="10"/>
      <color theme="0"/>
      <name val="Arial"/>
      <family val="2"/>
    </font>
    <font>
      <sz val="11"/>
      <color theme="8"/>
      <name val="Calibri"/>
      <family val="2"/>
      <scheme val="minor"/>
    </font>
    <font>
      <sz val="10"/>
      <color theme="9" tint="0.79998168889431442"/>
      <name val="Arial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FF0000"/>
        <bgColor theme="8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theme="8" tint="0.59999389629810485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/>
      <bottom style="thin">
        <color theme="8" tint="0.39997558519241921"/>
      </bottom>
      <diagonal/>
    </border>
    <border>
      <left/>
      <right/>
      <top/>
      <bottom style="thin">
        <color theme="8" tint="0.39997558519241921"/>
      </bottom>
      <diagonal/>
    </border>
    <border>
      <left/>
      <right style="thin">
        <color theme="8" tint="0.39997558519241921"/>
      </right>
      <top/>
      <bottom style="thin">
        <color theme="8" tint="0.39997558519241921"/>
      </bottom>
      <diagonal/>
    </border>
    <border>
      <left/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 style="thin">
        <color theme="8" tint="0.399975585192419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</cellStyleXfs>
  <cellXfs count="435">
    <xf numFmtId="0" fontId="0" fillId="0" borderId="0" xfId="0"/>
    <xf numFmtId="0" fontId="2" fillId="0" borderId="0" xfId="0" applyFont="1" applyFill="1" applyBorder="1" applyAlignment="1" applyProtection="1">
      <alignment horizontal="right"/>
    </xf>
    <xf numFmtId="44" fontId="0" fillId="0" borderId="0" xfId="2" applyFont="1" applyFill="1" applyBorder="1" applyAlignment="1" applyProtection="1">
      <alignment horizontal="right"/>
    </xf>
    <xf numFmtId="0" fontId="2" fillId="0" borderId="0" xfId="0" applyFont="1" applyFill="1" applyAlignment="1" applyProtection="1">
      <alignment horizontal="right"/>
    </xf>
    <xf numFmtId="43" fontId="0" fillId="0" borderId="0" xfId="1" applyFont="1" applyFill="1" applyProtection="1"/>
    <xf numFmtId="0" fontId="2" fillId="0" borderId="0" xfId="0" applyFont="1" applyBorder="1" applyProtection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4" fillId="0" borderId="0" xfId="0" applyFont="1" applyFill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Fill="1" applyBorder="1" applyAlignment="1" applyProtection="1">
      <alignment horizontal="center" wrapText="1"/>
    </xf>
    <xf numFmtId="0" fontId="4" fillId="0" borderId="0" xfId="0" applyFont="1" applyFill="1" applyProtection="1"/>
    <xf numFmtId="0" fontId="4" fillId="0" borderId="0" xfId="0" applyFont="1" applyFill="1" applyAlignment="1" applyProtection="1">
      <alignment horizontal="center" vertical="center"/>
    </xf>
    <xf numFmtId="44" fontId="4" fillId="0" borderId="0" xfId="2" applyFont="1" applyFill="1" applyBorder="1" applyAlignment="1" applyProtection="1">
      <alignment horizontal="right"/>
    </xf>
    <xf numFmtId="0" fontId="0" fillId="0" borderId="0" xfId="0" applyFont="1"/>
    <xf numFmtId="44" fontId="4" fillId="0" borderId="0" xfId="2" applyFont="1" applyFill="1" applyBorder="1" applyAlignment="1" applyProtection="1">
      <alignment horizontal="center"/>
    </xf>
    <xf numFmtId="0" fontId="4" fillId="0" borderId="0" xfId="0" applyFont="1" applyFill="1" applyAlignment="1" applyProtection="1">
      <alignment horizontal="right"/>
    </xf>
    <xf numFmtId="0" fontId="0" fillId="0" borderId="0" xfId="0" applyFont="1" applyFill="1" applyProtection="1"/>
    <xf numFmtId="0" fontId="4" fillId="0" borderId="0" xfId="0" applyFont="1" applyFill="1" applyBorder="1" applyProtection="1"/>
    <xf numFmtId="0" fontId="0" fillId="0" borderId="0" xfId="0" applyFont="1" applyBorder="1" applyAlignment="1">
      <alignment horizontal="right"/>
    </xf>
    <xf numFmtId="0" fontId="4" fillId="0" borderId="0" xfId="0" applyFont="1" applyFill="1" applyBorder="1" applyAlignment="1" applyProtection="1">
      <alignment horizontal="center" vertical="center"/>
    </xf>
    <xf numFmtId="0" fontId="5" fillId="0" borderId="0" xfId="0" applyFont="1" applyProtection="1"/>
    <xf numFmtId="0" fontId="0" fillId="0" borderId="0" xfId="0" applyFont="1" applyProtection="1"/>
    <xf numFmtId="0" fontId="0" fillId="0" borderId="0" xfId="0" applyFont="1" applyFill="1" applyAlignment="1" applyProtection="1">
      <alignment horizontal="right"/>
    </xf>
    <xf numFmtId="44" fontId="4" fillId="0" borderId="0" xfId="2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right"/>
    </xf>
    <xf numFmtId="0" fontId="3" fillId="0" borderId="0" xfId="3" applyFont="1" applyFill="1" applyAlignment="1" applyProtection="1">
      <alignment horizontal="right"/>
    </xf>
    <xf numFmtId="2" fontId="3" fillId="0" borderId="0" xfId="0" applyNumberFormat="1" applyFont="1" applyFill="1" applyAlignment="1" applyProtection="1"/>
    <xf numFmtId="0" fontId="0" fillId="0" borderId="0" xfId="0" applyFill="1" applyAlignment="1" applyProtection="1">
      <alignment horizontal="center"/>
    </xf>
    <xf numFmtId="0" fontId="2" fillId="0" borderId="0" xfId="3" applyFont="1" applyFill="1" applyAlignment="1" applyProtection="1">
      <alignment horizontal="center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164" fontId="7" fillId="0" borderId="1" xfId="2" applyNumberFormat="1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center"/>
    </xf>
    <xf numFmtId="0" fontId="2" fillId="0" borderId="0" xfId="0" applyNumberFormat="1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right"/>
    </xf>
    <xf numFmtId="0" fontId="4" fillId="0" borderId="0" xfId="0" applyNumberFormat="1" applyFont="1" applyBorder="1" applyAlignment="1" applyProtection="1">
      <alignment horizontal="center"/>
    </xf>
    <xf numFmtId="44" fontId="4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5" fontId="4" fillId="0" borderId="0" xfId="0" applyNumberFormat="1" applyFont="1" applyFill="1" applyBorder="1"/>
    <xf numFmtId="0" fontId="4" fillId="0" borderId="0" xfId="0" applyFont="1" applyBorder="1"/>
    <xf numFmtId="0" fontId="4" fillId="0" borderId="0" xfId="0" applyFont="1" applyFill="1" applyBorder="1"/>
    <xf numFmtId="165" fontId="4" fillId="0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2" fillId="0" borderId="7" xfId="0" applyFont="1" applyBorder="1" applyAlignment="1" applyProtection="1">
      <alignment horizontal="center" vertical="center" wrapText="1"/>
      <protection locked="0"/>
    </xf>
    <xf numFmtId="164" fontId="7" fillId="0" borderId="7" xfId="2" applyNumberFormat="1" applyFont="1" applyBorder="1" applyAlignment="1" applyProtection="1">
      <alignment vertical="center"/>
    </xf>
    <xf numFmtId="0" fontId="4" fillId="0" borderId="0" xfId="0" applyFont="1" applyFill="1" applyAlignment="1" applyProtection="1">
      <alignment horizontal="left"/>
    </xf>
    <xf numFmtId="164" fontId="4" fillId="0" borderId="0" xfId="2" applyNumberFormat="1" applyFont="1" applyFill="1" applyBorder="1" applyAlignment="1" applyProtection="1">
      <alignment horizontal="center"/>
    </xf>
    <xf numFmtId="44" fontId="4" fillId="0" borderId="0" xfId="2" applyFont="1" applyFill="1" applyBorder="1"/>
    <xf numFmtId="44" fontId="4" fillId="0" borderId="0" xfId="2" applyFont="1" applyFill="1" applyBorder="1" applyAlignment="1">
      <alignment horizontal="right"/>
    </xf>
    <xf numFmtId="166" fontId="0" fillId="0" borderId="0" xfId="0" applyNumberFormat="1" applyFont="1" applyFill="1" applyProtection="1"/>
    <xf numFmtId="0" fontId="2" fillId="0" borderId="0" xfId="0" applyFont="1" applyProtection="1"/>
    <xf numFmtId="0" fontId="0" fillId="0" borderId="0" xfId="0" applyFont="1" applyFill="1" applyBorder="1" applyProtection="1"/>
    <xf numFmtId="0" fontId="1" fillId="0" borderId="0" xfId="0" applyFont="1" applyFill="1" applyBorder="1" applyAlignment="1" applyProtection="1">
      <alignment horizontal="left" vertical="center"/>
    </xf>
    <xf numFmtId="0" fontId="3" fillId="0" borderId="0" xfId="0" applyFont="1" applyProtection="1"/>
    <xf numFmtId="14" fontId="0" fillId="0" borderId="0" xfId="0" applyNumberFormat="1" applyFont="1"/>
    <xf numFmtId="0" fontId="0" fillId="0" borderId="10" xfId="0" applyFont="1" applyBorder="1" applyAlignment="1" applyProtection="1">
      <alignment horizontal="center"/>
    </xf>
    <xf numFmtId="0" fontId="4" fillId="0" borderId="0" xfId="0" applyFont="1" applyProtection="1"/>
    <xf numFmtId="44" fontId="0" fillId="0" borderId="0" xfId="2" applyFont="1"/>
    <xf numFmtId="44" fontId="0" fillId="0" borderId="0" xfId="2" applyFont="1" applyAlignment="1">
      <alignment horizontal="right"/>
    </xf>
    <xf numFmtId="0" fontId="0" fillId="0" borderId="0" xfId="0" applyFill="1"/>
    <xf numFmtId="44" fontId="0" fillId="0" borderId="0" xfId="2" applyFont="1" applyFill="1" applyBorder="1" applyAlignment="1">
      <alignment horizontal="center"/>
    </xf>
    <xf numFmtId="0" fontId="0" fillId="0" borderId="19" xfId="0" applyFont="1" applyBorder="1"/>
    <xf numFmtId="44" fontId="0" fillId="0" borderId="20" xfId="2" applyNumberFormat="1" applyFont="1" applyBorder="1" applyAlignment="1">
      <alignment horizontal="right"/>
    </xf>
    <xf numFmtId="44" fontId="0" fillId="0" borderId="19" xfId="2" applyNumberFormat="1" applyFont="1" applyBorder="1"/>
    <xf numFmtId="171" fontId="0" fillId="0" borderId="0" xfId="8" applyNumberFormat="1" applyFont="1"/>
    <xf numFmtId="171" fontId="0" fillId="5" borderId="0" xfId="8" applyNumberFormat="1" applyFont="1" applyFill="1"/>
    <xf numFmtId="44" fontId="12" fillId="8" borderId="22" xfId="2" applyNumberFormat="1" applyFont="1" applyFill="1" applyBorder="1" applyAlignment="1">
      <alignment horizontal="center"/>
    </xf>
    <xf numFmtId="0" fontId="0" fillId="9" borderId="25" xfId="0" applyFont="1" applyFill="1" applyBorder="1"/>
    <xf numFmtId="44" fontId="0" fillId="9" borderId="24" xfId="2" applyNumberFormat="1" applyFont="1" applyFill="1" applyBorder="1"/>
    <xf numFmtId="44" fontId="0" fillId="0" borderId="24" xfId="2" applyNumberFormat="1" applyFont="1" applyBorder="1"/>
    <xf numFmtId="0" fontId="0" fillId="9" borderId="24" xfId="0" applyFont="1" applyFill="1" applyBorder="1"/>
    <xf numFmtId="0" fontId="0" fillId="0" borderId="24" xfId="0" applyFont="1" applyBorder="1"/>
    <xf numFmtId="44" fontId="12" fillId="8" borderId="0" xfId="2" applyNumberFormat="1" applyFont="1" applyFill="1" applyBorder="1" applyAlignment="1">
      <alignment horizontal="center"/>
    </xf>
    <xf numFmtId="44" fontId="0" fillId="0" borderId="0" xfId="2" applyNumberFormat="1" applyFont="1" applyBorder="1"/>
    <xf numFmtId="9" fontId="0" fillId="0" borderId="0" xfId="8" applyFont="1" applyAlignment="1">
      <alignment horizontal="right"/>
    </xf>
    <xf numFmtId="170" fontId="0" fillId="0" borderId="0" xfId="1" applyNumberFormat="1" applyFont="1" applyAlignment="1">
      <alignment horizontal="right"/>
    </xf>
    <xf numFmtId="44" fontId="0" fillId="0" borderId="0" xfId="2" applyFont="1" applyFill="1" applyAlignment="1">
      <alignment horizontal="right"/>
    </xf>
    <xf numFmtId="44" fontId="0" fillId="9" borderId="24" xfId="2" applyNumberFormat="1" applyFont="1" applyFill="1" applyBorder="1" applyAlignment="1">
      <alignment horizontal="right"/>
    </xf>
    <xf numFmtId="44" fontId="0" fillId="0" borderId="24" xfId="2" applyNumberFormat="1" applyFont="1" applyBorder="1" applyAlignment="1">
      <alignment horizontal="right"/>
    </xf>
    <xf numFmtId="44" fontId="0" fillId="0" borderId="19" xfId="2" applyNumberFormat="1" applyFont="1" applyBorder="1" applyAlignment="1">
      <alignment horizontal="right"/>
    </xf>
    <xf numFmtId="44" fontId="0" fillId="0" borderId="0" xfId="2" applyNumberFormat="1" applyFont="1" applyBorder="1" applyAlignment="1">
      <alignment horizontal="right"/>
    </xf>
    <xf numFmtId="44" fontId="0" fillId="9" borderId="20" xfId="2" applyNumberFormat="1" applyFont="1" applyFill="1" applyBorder="1" applyAlignment="1">
      <alignment horizontal="right"/>
    </xf>
    <xf numFmtId="0" fontId="12" fillId="8" borderId="20" xfId="0" applyFont="1" applyFill="1" applyBorder="1" applyAlignment="1">
      <alignment horizontal="center"/>
    </xf>
    <xf numFmtId="0" fontId="12" fillId="8" borderId="22" xfId="0" applyFont="1" applyFill="1" applyBorder="1" applyAlignment="1">
      <alignment horizontal="center"/>
    </xf>
    <xf numFmtId="0" fontId="12" fillId="8" borderId="23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0" fontId="2" fillId="0" borderId="27" xfId="0" applyFont="1" applyBorder="1" applyAlignment="1" applyProtection="1">
      <alignment horizontal="center" vertical="center" wrapText="1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center"/>
      <protection locked="0"/>
    </xf>
    <xf numFmtId="0" fontId="3" fillId="0" borderId="34" xfId="0" applyFont="1" applyBorder="1" applyAlignment="1" applyProtection="1">
      <alignment horizontal="center"/>
      <protection locked="0"/>
    </xf>
    <xf numFmtId="0" fontId="3" fillId="0" borderId="36" xfId="0" applyFont="1" applyBorder="1" applyAlignment="1" applyProtection="1">
      <alignment vertical="center"/>
      <protection locked="0"/>
    </xf>
    <xf numFmtId="0" fontId="3" fillId="0" borderId="36" xfId="0" applyFont="1" applyBorder="1" applyAlignment="1" applyProtection="1">
      <alignment vertical="center" wrapText="1"/>
      <protection locked="0"/>
    </xf>
    <xf numFmtId="0" fontId="3" fillId="0" borderId="36" xfId="0" applyFont="1" applyBorder="1" applyAlignment="1" applyProtection="1">
      <alignment vertical="center" wrapText="1"/>
    </xf>
    <xf numFmtId="0" fontId="2" fillId="0" borderId="36" xfId="0" applyNumberFormat="1" applyFont="1" applyBorder="1" applyAlignment="1" applyProtection="1">
      <alignment vertical="center"/>
      <protection locked="0"/>
    </xf>
    <xf numFmtId="0" fontId="2" fillId="0" borderId="36" xfId="0" applyNumberFormat="1" applyFont="1" applyBorder="1" applyAlignment="1" applyProtection="1">
      <alignment vertical="center"/>
    </xf>
    <xf numFmtId="0" fontId="2" fillId="0" borderId="37" xfId="0" applyNumberFormat="1" applyFont="1" applyBorder="1" applyAlignment="1" applyProtection="1">
      <alignment vertical="center"/>
    </xf>
    <xf numFmtId="0" fontId="0" fillId="0" borderId="0" xfId="0" applyFont="1" applyAlignment="1">
      <alignment horizontal="left"/>
    </xf>
    <xf numFmtId="164" fontId="7" fillId="0" borderId="0" xfId="2" applyNumberFormat="1" applyFont="1" applyFill="1" applyBorder="1" applyAlignment="1" applyProtection="1">
      <alignment vertical="center"/>
    </xf>
    <xf numFmtId="0" fontId="2" fillId="0" borderId="0" xfId="3" applyFont="1" applyFill="1" applyProtection="1"/>
    <xf numFmtId="0" fontId="2" fillId="0" borderId="0" xfId="3" applyFill="1" applyProtection="1"/>
    <xf numFmtId="0" fontId="2" fillId="0" borderId="0" xfId="3" applyProtection="1"/>
    <xf numFmtId="0" fontId="2" fillId="0" borderId="0" xfId="3" applyFont="1" applyProtection="1"/>
    <xf numFmtId="0" fontId="2" fillId="0" borderId="0" xfId="3" applyFont="1" applyFill="1" applyBorder="1" applyAlignment="1" applyProtection="1">
      <alignment horizontal="center"/>
    </xf>
    <xf numFmtId="0" fontId="2" fillId="0" borderId="0" xfId="3" applyFill="1" applyBorder="1" applyProtection="1"/>
    <xf numFmtId="0" fontId="2" fillId="0" borderId="0" xfId="3" applyFill="1" applyAlignment="1" applyProtection="1">
      <alignment horizontal="center"/>
    </xf>
    <xf numFmtId="0" fontId="2" fillId="0" borderId="0" xfId="3" applyFont="1" applyFill="1" applyBorder="1" applyAlignment="1" applyProtection="1">
      <alignment horizontal="left" vertical="center"/>
      <protection locked="0"/>
    </xf>
    <xf numFmtId="1" fontId="2" fillId="0" borderId="0" xfId="3" applyNumberFormat="1" applyProtection="1"/>
    <xf numFmtId="9" fontId="0" fillId="0" borderId="0" xfId="4" applyFont="1" applyProtection="1"/>
    <xf numFmtId="0" fontId="2" fillId="0" borderId="0" xfId="3" applyFont="1" applyFill="1" applyAlignment="1" applyProtection="1">
      <alignment horizontal="left" vertical="center"/>
      <protection locked="0"/>
    </xf>
    <xf numFmtId="0" fontId="2" fillId="3" borderId="0" xfId="3" applyFill="1" applyProtection="1"/>
    <xf numFmtId="0" fontId="2" fillId="12" borderId="0" xfId="3" applyFill="1" applyProtection="1"/>
    <xf numFmtId="0" fontId="2" fillId="0" borderId="0" xfId="3" applyFont="1" applyFill="1" applyAlignment="1" applyProtection="1">
      <alignment horizontal="left"/>
    </xf>
    <xf numFmtId="0" fontId="2" fillId="0" borderId="0" xfId="3" applyFill="1" applyBorder="1" applyAlignment="1" applyProtection="1">
      <alignment horizontal="center"/>
    </xf>
    <xf numFmtId="0" fontId="2" fillId="0" borderId="0" xfId="3" applyFont="1" applyFill="1" applyBorder="1" applyProtection="1"/>
    <xf numFmtId="0" fontId="2" fillId="0" borderId="39" xfId="0" applyFont="1" applyBorder="1" applyAlignment="1" applyProtection="1">
      <alignment horizontal="center" vertical="center" wrapText="1"/>
      <protection locked="0"/>
    </xf>
    <xf numFmtId="164" fontId="7" fillId="0" borderId="39" xfId="2" applyNumberFormat="1" applyFont="1" applyBorder="1" applyAlignment="1" applyProtection="1">
      <alignment vertical="center"/>
    </xf>
    <xf numFmtId="0" fontId="3" fillId="0" borderId="46" xfId="0" applyFont="1" applyBorder="1" applyAlignment="1" applyProtection="1">
      <alignment vertical="center" wrapText="1"/>
      <protection locked="0"/>
    </xf>
    <xf numFmtId="0" fontId="2" fillId="0" borderId="46" xfId="0" applyNumberFormat="1" applyFont="1" applyBorder="1" applyAlignment="1" applyProtection="1">
      <alignment vertical="center"/>
      <protection locked="0"/>
    </xf>
    <xf numFmtId="0" fontId="2" fillId="0" borderId="32" xfId="0" applyNumberFormat="1" applyFont="1" applyBorder="1" applyAlignment="1" applyProtection="1">
      <alignment vertical="center"/>
      <protection locked="0"/>
    </xf>
    <xf numFmtId="0" fontId="3" fillId="0" borderId="47" xfId="0" applyFont="1" applyBorder="1" applyAlignment="1" applyProtection="1">
      <alignment horizontal="center"/>
      <protection locked="0"/>
    </xf>
    <xf numFmtId="0" fontId="3" fillId="0" borderId="48" xfId="0" applyFont="1" applyBorder="1" applyAlignment="1" applyProtection="1">
      <alignment horizontal="center"/>
      <protection locked="0"/>
    </xf>
    <xf numFmtId="0" fontId="3" fillId="0" borderId="49" xfId="0" applyFont="1" applyBorder="1" applyAlignment="1" applyProtection="1">
      <alignment horizontal="center"/>
      <protection locked="0"/>
    </xf>
    <xf numFmtId="0" fontId="2" fillId="0" borderId="42" xfId="3" applyNumberFormat="1" applyFont="1" applyFill="1" applyBorder="1" applyAlignment="1">
      <alignment horizontal="center"/>
    </xf>
    <xf numFmtId="0" fontId="2" fillId="0" borderId="44" xfId="3" applyNumberFormat="1" applyFont="1" applyFill="1" applyBorder="1" applyAlignment="1"/>
    <xf numFmtId="0" fontId="2" fillId="0" borderId="43" xfId="3" applyNumberFormat="1" applyFont="1" applyFill="1" applyBorder="1" applyAlignment="1">
      <alignment horizontal="center"/>
    </xf>
    <xf numFmtId="0" fontId="2" fillId="0" borderId="45" xfId="3" applyNumberFormat="1" applyFont="1" applyFill="1" applyBorder="1" applyAlignment="1"/>
    <xf numFmtId="0" fontId="0" fillId="0" borderId="0" xfId="4" applyNumberFormat="1" applyFont="1" applyProtection="1"/>
    <xf numFmtId="11" fontId="0" fillId="0" borderId="0" xfId="0" applyNumberFormat="1"/>
    <xf numFmtId="173" fontId="0" fillId="0" borderId="0" xfId="0" applyNumberFormat="1"/>
    <xf numFmtId="0" fontId="3" fillId="13" borderId="46" xfId="0" applyNumberFormat="1" applyFont="1" applyFill="1" applyBorder="1" applyAlignment="1" applyProtection="1">
      <alignment vertical="center"/>
      <protection locked="0"/>
    </xf>
    <xf numFmtId="0" fontId="3" fillId="13" borderId="39" xfId="0" applyFont="1" applyFill="1" applyBorder="1" applyAlignment="1" applyProtection="1">
      <alignment vertical="center"/>
      <protection locked="0"/>
    </xf>
    <xf numFmtId="0" fontId="3" fillId="13" borderId="1" xfId="0" applyFont="1" applyFill="1" applyBorder="1" applyAlignment="1" applyProtection="1">
      <alignment vertical="center"/>
      <protection locked="0"/>
    </xf>
    <xf numFmtId="0" fontId="3" fillId="13" borderId="7" xfId="0" applyFont="1" applyFill="1" applyBorder="1" applyAlignment="1" applyProtection="1">
      <alignment vertical="center"/>
      <protection locked="0"/>
    </xf>
    <xf numFmtId="0" fontId="3" fillId="13" borderId="36" xfId="0" applyNumberFormat="1" applyFont="1" applyFill="1" applyBorder="1" applyAlignment="1" applyProtection="1">
      <alignment vertical="center"/>
      <protection locked="0"/>
    </xf>
    <xf numFmtId="0" fontId="3" fillId="13" borderId="8" xfId="0" applyFont="1" applyFill="1" applyBorder="1" applyAlignment="1" applyProtection="1">
      <alignment vertical="center"/>
      <protection locked="0"/>
    </xf>
    <xf numFmtId="0" fontId="3" fillId="13" borderId="40" xfId="0" applyFont="1" applyFill="1" applyBorder="1" applyAlignment="1" applyProtection="1">
      <alignment vertical="center"/>
      <protection locked="0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 applyProtection="1">
      <alignment horizontal="center"/>
    </xf>
    <xf numFmtId="44" fontId="14" fillId="0" borderId="0" xfId="0" applyNumberFormat="1" applyFont="1" applyFill="1" applyBorder="1" applyAlignment="1">
      <alignment horizontal="center"/>
    </xf>
    <xf numFmtId="165" fontId="14" fillId="0" borderId="0" xfId="0" applyNumberFormat="1" applyFont="1" applyFill="1" applyBorder="1" applyAlignment="1">
      <alignment horizontal="center"/>
    </xf>
    <xf numFmtId="0" fontId="18" fillId="0" borderId="0" xfId="9" applyFont="1" applyFill="1" applyBorder="1"/>
    <xf numFmtId="0" fontId="18" fillId="0" borderId="0" xfId="9" applyFont="1" applyFill="1" applyBorder="1" applyAlignment="1">
      <alignment wrapText="1"/>
    </xf>
    <xf numFmtId="0" fontId="19" fillId="0" borderId="0" xfId="9" applyFont="1" applyBorder="1" applyAlignment="1">
      <alignment wrapText="1"/>
    </xf>
    <xf numFmtId="0" fontId="18" fillId="0" borderId="0" xfId="9" applyFont="1" applyBorder="1" applyAlignment="1">
      <alignment horizontal="center" vertical="center" wrapText="1"/>
    </xf>
    <xf numFmtId="0" fontId="20" fillId="0" borderId="0" xfId="0" applyFont="1" applyBorder="1"/>
    <xf numFmtId="0" fontId="19" fillId="0" borderId="0" xfId="9" applyFont="1" applyBorder="1"/>
    <xf numFmtId="0" fontId="19" fillId="0" borderId="0" xfId="9" applyFont="1" applyFill="1" applyBorder="1" applyAlignment="1">
      <alignment wrapText="1"/>
    </xf>
    <xf numFmtId="6" fontId="19" fillId="0" borderId="0" xfId="9" applyNumberFormat="1" applyFont="1" applyFill="1" applyBorder="1" applyAlignment="1">
      <alignment wrapText="1"/>
    </xf>
    <xf numFmtId="8" fontId="19" fillId="0" borderId="0" xfId="9" applyNumberFormat="1" applyFont="1" applyFill="1" applyBorder="1" applyAlignment="1">
      <alignment wrapText="1"/>
    </xf>
    <xf numFmtId="0" fontId="19" fillId="0" borderId="0" xfId="9" applyFont="1" applyFill="1" applyBorder="1" applyAlignment="1">
      <alignment horizontal="left" wrapText="1" indent="2"/>
    </xf>
    <xf numFmtId="0" fontId="19" fillId="0" borderId="0" xfId="9" applyFont="1" applyBorder="1" applyAlignment="1">
      <alignment wrapText="1" readingOrder="1"/>
    </xf>
    <xf numFmtId="0" fontId="19" fillId="0" borderId="0" xfId="9" applyFont="1" applyBorder="1" applyAlignment="1">
      <alignment textRotation="45" wrapText="1"/>
    </xf>
    <xf numFmtId="0" fontId="22" fillId="0" borderId="0" xfId="9" applyFont="1" applyFill="1" applyBorder="1" applyAlignment="1">
      <alignment wrapText="1"/>
    </xf>
    <xf numFmtId="0" fontId="19" fillId="0" borderId="0" xfId="9" applyFont="1" applyBorder="1" applyAlignment="1"/>
    <xf numFmtId="0" fontId="10" fillId="15" borderId="0" xfId="9" applyNumberFormat="1" applyFont="1" applyFill="1" applyBorder="1" applyAlignment="1">
      <alignment horizontal="center" wrapText="1" readingOrder="1"/>
    </xf>
    <xf numFmtId="0" fontId="10" fillId="15" borderId="12" xfId="9" applyNumberFormat="1" applyFont="1" applyFill="1" applyBorder="1" applyAlignment="1">
      <alignment horizontal="center" wrapText="1" readingOrder="1"/>
    </xf>
    <xf numFmtId="0" fontId="10" fillId="15" borderId="0" xfId="9" applyNumberFormat="1" applyFont="1" applyFill="1" applyBorder="1" applyAlignment="1">
      <alignment horizontal="center" vertical="center" wrapText="1" readingOrder="1"/>
    </xf>
    <xf numFmtId="0" fontId="19" fillId="14" borderId="15" xfId="9" applyNumberFormat="1" applyFont="1" applyFill="1" applyBorder="1" applyAlignment="1">
      <alignment wrapText="1"/>
    </xf>
    <xf numFmtId="0" fontId="19" fillId="16" borderId="50" xfId="9" applyNumberFormat="1" applyFont="1" applyFill="1" applyBorder="1" applyAlignment="1">
      <alignment wrapText="1"/>
    </xf>
    <xf numFmtId="172" fontId="20" fillId="16" borderId="51" xfId="7" applyNumberFormat="1" applyFont="1" applyFill="1" applyBorder="1" applyAlignment="1">
      <alignment wrapText="1"/>
    </xf>
    <xf numFmtId="0" fontId="10" fillId="16" borderId="51" xfId="9" applyNumberFormat="1" applyFont="1" applyFill="1" applyBorder="1" applyAlignment="1">
      <alignment horizontal="center" textRotation="45" wrapText="1"/>
    </xf>
    <xf numFmtId="0" fontId="19" fillId="14" borderId="14" xfId="9" applyNumberFormat="1" applyFont="1" applyFill="1" applyBorder="1" applyAlignment="1">
      <alignment wrapText="1"/>
    </xf>
    <xf numFmtId="172" fontId="20" fillId="14" borderId="15" xfId="7" applyNumberFormat="1" applyFont="1" applyFill="1" applyBorder="1" applyAlignment="1">
      <alignment wrapText="1"/>
    </xf>
    <xf numFmtId="0" fontId="19" fillId="16" borderId="14" xfId="9" applyNumberFormat="1" applyFont="1" applyFill="1" applyBorder="1" applyAlignment="1">
      <alignment wrapText="1"/>
    </xf>
    <xf numFmtId="172" fontId="20" fillId="16" borderId="15" xfId="7" applyNumberFormat="1" applyFont="1" applyFill="1" applyBorder="1" applyAlignment="1">
      <alignment wrapText="1"/>
    </xf>
    <xf numFmtId="0" fontId="19" fillId="16" borderId="15" xfId="9" applyNumberFormat="1" applyFont="1" applyFill="1" applyBorder="1" applyAlignment="1">
      <alignment wrapText="1"/>
    </xf>
    <xf numFmtId="172" fontId="20" fillId="14" borderId="15" xfId="7" applyNumberFormat="1" applyFont="1" applyFill="1" applyBorder="1"/>
    <xf numFmtId="172" fontId="20" fillId="16" borderId="15" xfId="7" applyNumberFormat="1" applyFont="1" applyFill="1" applyBorder="1"/>
    <xf numFmtId="172" fontId="19" fillId="16" borderId="15" xfId="7" applyNumberFormat="1" applyFont="1" applyFill="1" applyBorder="1" applyAlignment="1">
      <alignment wrapText="1"/>
    </xf>
    <xf numFmtId="0" fontId="0" fillId="2" borderId="0" xfId="0" applyFill="1" applyAlignment="1">
      <alignment horizontal="centerContinuous"/>
    </xf>
    <xf numFmtId="0" fontId="8" fillId="7" borderId="0" xfId="0" applyFont="1" applyFill="1" applyAlignment="1">
      <alignment horizontal="centerContinuous"/>
    </xf>
    <xf numFmtId="0" fontId="5" fillId="7" borderId="0" xfId="0" applyFont="1" applyFill="1" applyAlignment="1">
      <alignment horizontal="centerContinuous"/>
    </xf>
    <xf numFmtId="0" fontId="8" fillId="7" borderId="22" xfId="0" applyFont="1" applyFill="1" applyBorder="1" applyAlignment="1">
      <alignment horizontal="centerContinuous"/>
    </xf>
    <xf numFmtId="0" fontId="4" fillId="0" borderId="0" xfId="0" applyFont="1" applyAlignment="1">
      <alignment horizontal="left"/>
    </xf>
    <xf numFmtId="0" fontId="0" fillId="0" borderId="1" xfId="0" applyBorder="1"/>
    <xf numFmtId="0" fontId="2" fillId="0" borderId="1" xfId="0" applyFont="1" applyBorder="1"/>
    <xf numFmtId="0" fontId="0" fillId="0" borderId="0" xfId="0" applyFill="1" applyBorder="1"/>
    <xf numFmtId="0" fontId="0" fillId="0" borderId="54" xfId="0" applyBorder="1"/>
    <xf numFmtId="0" fontId="0" fillId="0" borderId="9" xfId="0" applyBorder="1"/>
    <xf numFmtId="0" fontId="0" fillId="0" borderId="53" xfId="0" applyFill="1" applyBorder="1" applyAlignment="1">
      <alignment wrapText="1"/>
    </xf>
    <xf numFmtId="0" fontId="2" fillId="0" borderId="0" xfId="0" applyFont="1" applyFill="1" applyBorder="1"/>
    <xf numFmtId="0" fontId="11" fillId="0" borderId="0" xfId="0" applyFont="1"/>
    <xf numFmtId="0" fontId="11" fillId="0" borderId="0" xfId="0" applyFont="1" applyAlignment="1"/>
    <xf numFmtId="0" fontId="11" fillId="0" borderId="0" xfId="0" applyFont="1" applyFill="1" applyBorder="1" applyAlignment="1">
      <alignment horizontal="right" vertical="center"/>
    </xf>
    <xf numFmtId="0" fontId="11" fillId="0" borderId="0" xfId="0" applyFont="1" applyFill="1" applyBorder="1"/>
    <xf numFmtId="0" fontId="11" fillId="0" borderId="0" xfId="0" applyFont="1" applyAlignment="1">
      <alignment horizontal="right"/>
    </xf>
    <xf numFmtId="0" fontId="2" fillId="0" borderId="0" xfId="0" applyFont="1"/>
    <xf numFmtId="0" fontId="10" fillId="0" borderId="0" xfId="0" applyFont="1"/>
    <xf numFmtId="14" fontId="9" fillId="0" borderId="0" xfId="0" applyNumberFormat="1" applyFont="1"/>
    <xf numFmtId="0" fontId="10" fillId="0" borderId="0" xfId="0" applyFont="1" applyFill="1"/>
    <xf numFmtId="14" fontId="9" fillId="0" borderId="0" xfId="0" applyNumberFormat="1" applyFont="1" applyFill="1"/>
    <xf numFmtId="0" fontId="3" fillId="0" borderId="0" xfId="0" applyFont="1"/>
    <xf numFmtId="0" fontId="3" fillId="0" borderId="0" xfId="0" applyFont="1" applyFill="1"/>
    <xf numFmtId="0" fontId="3" fillId="0" borderId="0" xfId="0" applyFont="1" applyFill="1" applyBorder="1"/>
    <xf numFmtId="0" fontId="0" fillId="0" borderId="1" xfId="0" applyFill="1" applyBorder="1"/>
    <xf numFmtId="44" fontId="0" fillId="0" borderId="1" xfId="7" applyFont="1" applyFill="1" applyBorder="1"/>
    <xf numFmtId="0" fontId="7" fillId="0" borderId="0" xfId="0" applyFont="1"/>
    <xf numFmtId="0" fontId="2" fillId="0" borderId="1" xfId="0" applyFont="1" applyFill="1" applyBorder="1"/>
    <xf numFmtId="0" fontId="0" fillId="0" borderId="1" xfId="0" quotePrefix="1" applyBorder="1"/>
    <xf numFmtId="164" fontId="0" fillId="0" borderId="1" xfId="7" applyNumberFormat="1" applyFont="1" applyFill="1" applyBorder="1"/>
    <xf numFmtId="164" fontId="0" fillId="0" borderId="0" xfId="0" applyNumberFormat="1"/>
    <xf numFmtId="44" fontId="0" fillId="0" borderId="0" xfId="7" applyFont="1" applyFill="1" applyBorder="1"/>
    <xf numFmtId="0" fontId="3" fillId="0" borderId="0" xfId="0" applyFont="1" applyFill="1" applyBorder="1" applyAlignment="1">
      <alignment horizontal="left"/>
    </xf>
    <xf numFmtId="44" fontId="3" fillId="0" borderId="0" xfId="7" applyFont="1" applyFill="1" applyBorder="1"/>
    <xf numFmtId="164" fontId="2" fillId="0" borderId="1" xfId="7" applyNumberFormat="1" applyFont="1" applyFill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44" fontId="0" fillId="0" borderId="1" xfId="7" applyFont="1" applyBorder="1"/>
    <xf numFmtId="0" fontId="0" fillId="0" borderId="0" xfId="0" applyFill="1" applyBorder="1" applyAlignment="1">
      <alignment wrapText="1"/>
    </xf>
    <xf numFmtId="14" fontId="0" fillId="0" borderId="0" xfId="0" applyNumberFormat="1"/>
    <xf numFmtId="8" fontId="0" fillId="0" borderId="1" xfId="0" applyNumberFormat="1" applyBorder="1"/>
    <xf numFmtId="44" fontId="0" fillId="17" borderId="1" xfId="7" applyFont="1" applyFill="1" applyBorder="1"/>
    <xf numFmtId="6" fontId="0" fillId="0" borderId="0" xfId="0" applyNumberFormat="1" applyBorder="1"/>
    <xf numFmtId="6" fontId="2" fillId="0" borderId="1" xfId="0" applyNumberFormat="1" applyFont="1" applyBorder="1"/>
    <xf numFmtId="6" fontId="0" fillId="0" borderId="1" xfId="0" applyNumberFormat="1" applyBorder="1"/>
    <xf numFmtId="44" fontId="0" fillId="0" borderId="0" xfId="7" applyFont="1" applyBorder="1"/>
    <xf numFmtId="0" fontId="2" fillId="0" borderId="1" xfId="0" applyFont="1" applyBorder="1" applyAlignment="1">
      <alignment horizontal="left" indent="1"/>
    </xf>
    <xf numFmtId="6" fontId="0" fillId="0" borderId="0" xfId="7" applyNumberFormat="1" applyFont="1" applyBorder="1"/>
    <xf numFmtId="8" fontId="2" fillId="0" borderId="1" xfId="0" applyNumberFormat="1" applyFont="1" applyBorder="1"/>
    <xf numFmtId="0" fontId="2" fillId="0" borderId="1" xfId="0" applyFont="1" applyBorder="1" applyAlignment="1">
      <alignment horizontal="left"/>
    </xf>
    <xf numFmtId="0" fontId="2" fillId="0" borderId="0" xfId="0" applyFont="1" applyBorder="1" applyAlignment="1">
      <alignment horizontal="left" indent="1"/>
    </xf>
    <xf numFmtId="8" fontId="0" fillId="0" borderId="0" xfId="0" applyNumberFormat="1" applyBorder="1"/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0" fontId="23" fillId="0" borderId="0" xfId="0" applyFont="1" applyFill="1" applyBorder="1" applyAlignment="1">
      <alignment wrapText="1"/>
    </xf>
    <xf numFmtId="0" fontId="24" fillId="0" borderId="0" xfId="0" applyFont="1" applyBorder="1"/>
    <xf numFmtId="0" fontId="0" fillId="0" borderId="55" xfId="0" applyFill="1" applyBorder="1" applyAlignment="1">
      <alignment wrapText="1"/>
    </xf>
    <xf numFmtId="0" fontId="0" fillId="0" borderId="56" xfId="0" applyFill="1" applyBorder="1"/>
    <xf numFmtId="0" fontId="25" fillId="0" borderId="11" xfId="0" applyFont="1" applyBorder="1"/>
    <xf numFmtId="0" fontId="10" fillId="0" borderId="0" xfId="9" applyNumberFormat="1" applyFont="1" applyFill="1" applyBorder="1" applyAlignment="1">
      <alignment horizontal="center" wrapText="1" readingOrder="1"/>
    </xf>
    <xf numFmtId="0" fontId="10" fillId="0" borderId="12" xfId="9" applyNumberFormat="1" applyFont="1" applyFill="1" applyBorder="1" applyAlignment="1">
      <alignment horizontal="center" wrapText="1" readingOrder="1"/>
    </xf>
    <xf numFmtId="0" fontId="21" fillId="0" borderId="50" xfId="9" applyNumberFormat="1" applyFont="1" applyFill="1" applyBorder="1" applyAlignment="1">
      <alignment wrapText="1"/>
    </xf>
    <xf numFmtId="44" fontId="20" fillId="0" borderId="51" xfId="2" applyFont="1" applyFill="1" applyBorder="1" applyAlignment="1"/>
    <xf numFmtId="0" fontId="21" fillId="0" borderId="14" xfId="9" applyNumberFormat="1" applyFont="1" applyFill="1" applyBorder="1" applyAlignment="1">
      <alignment wrapText="1"/>
    </xf>
    <xf numFmtId="44" fontId="20" fillId="0" borderId="15" xfId="2" applyFont="1" applyFill="1" applyBorder="1" applyAlignment="1"/>
    <xf numFmtId="44" fontId="20" fillId="0" borderId="15" xfId="2" applyFont="1" applyFill="1" applyBorder="1" applyAlignment="1">
      <alignment horizontal="left" indent="1"/>
    </xf>
    <xf numFmtId="44" fontId="20" fillId="0" borderId="15" xfId="2" applyFont="1" applyFill="1" applyBorder="1" applyAlignment="1">
      <alignment horizontal="center"/>
    </xf>
    <xf numFmtId="0" fontId="10" fillId="0" borderId="0" xfId="9" applyNumberFormat="1" applyFont="1" applyFill="1" applyBorder="1" applyAlignment="1">
      <alignment horizontal="center" vertical="center" wrapText="1" readingOrder="1"/>
    </xf>
    <xf numFmtId="44" fontId="19" fillId="0" borderId="51" xfId="2" applyFont="1" applyFill="1" applyBorder="1" applyAlignment="1">
      <alignment wrapText="1"/>
    </xf>
    <xf numFmtId="44" fontId="19" fillId="0" borderId="15" xfId="2" applyFont="1" applyFill="1" applyBorder="1" applyAlignment="1">
      <alignment wrapText="1"/>
    </xf>
    <xf numFmtId="0" fontId="0" fillId="0" borderId="0" xfId="0" applyNumberFormat="1" applyFont="1" applyAlignment="1" applyProtection="1">
      <alignment horizontal="center"/>
    </xf>
    <xf numFmtId="0" fontId="0" fillId="0" borderId="10" xfId="0" applyNumberFormat="1" applyFont="1" applyBorder="1" applyAlignment="1" applyProtection="1">
      <alignment horizontal="center"/>
    </xf>
    <xf numFmtId="0" fontId="4" fillId="0" borderId="0" xfId="0" applyNumberFormat="1" applyFont="1" applyAlignment="1" applyProtection="1">
      <alignment horizontal="center"/>
    </xf>
    <xf numFmtId="0" fontId="0" fillId="0" borderId="0" xfId="0" applyNumberFormat="1" applyFont="1"/>
    <xf numFmtId="14" fontId="11" fillId="0" borderId="28" xfId="0" applyNumberFormat="1" applyFont="1" applyBorder="1" applyAlignment="1" applyProtection="1">
      <alignment horizontal="center" vertical="center" wrapText="1"/>
      <protection locked="0"/>
    </xf>
    <xf numFmtId="0" fontId="11" fillId="11" borderId="35" xfId="0" applyFont="1" applyFill="1" applyBorder="1" applyProtection="1">
      <protection locked="0"/>
    </xf>
    <xf numFmtId="0" fontId="11" fillId="0" borderId="2" xfId="0" applyFont="1" applyBorder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0" fontId="11" fillId="0" borderId="4" xfId="0" applyFont="1" applyBorder="1" applyAlignment="1" applyProtection="1">
      <alignment horizontal="center" vertical="center" wrapText="1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0" fontId="2" fillId="0" borderId="0" xfId="0" applyFont="1" applyFill="1"/>
    <xf numFmtId="168" fontId="11" fillId="0" borderId="0" xfId="0" applyNumberFormat="1" applyFont="1"/>
    <xf numFmtId="44" fontId="11" fillId="0" borderId="39" xfId="2" applyFont="1" applyBorder="1" applyAlignment="1" applyProtection="1">
      <alignment horizontal="center" vertical="center"/>
      <protection locked="0"/>
    </xf>
    <xf numFmtId="44" fontId="11" fillId="0" borderId="1" xfId="2" applyFont="1" applyBorder="1" applyAlignment="1" applyProtection="1">
      <alignment horizontal="center" vertical="center"/>
      <protection locked="0"/>
    </xf>
    <xf numFmtId="44" fontId="11" fillId="0" borderId="7" xfId="2" applyFont="1" applyBorder="1" applyAlignment="1" applyProtection="1">
      <alignment horizontal="center" vertical="center"/>
      <protection locked="0"/>
    </xf>
    <xf numFmtId="0" fontId="26" fillId="18" borderId="0" xfId="0" applyFont="1" applyFill="1"/>
    <xf numFmtId="0" fontId="11" fillId="19" borderId="0" xfId="0" applyFont="1" applyFill="1"/>
    <xf numFmtId="0" fontId="11" fillId="21" borderId="0" xfId="0" applyFont="1" applyFill="1"/>
    <xf numFmtId="0" fontId="11" fillId="0" borderId="0" xfId="0" applyNumberFormat="1" applyFont="1"/>
    <xf numFmtId="167" fontId="11" fillId="0" borderId="0" xfId="0" applyNumberFormat="1" applyFont="1"/>
    <xf numFmtId="44" fontId="11" fillId="0" borderId="39" xfId="2" applyFont="1" applyBorder="1" applyAlignment="1" applyProtection="1">
      <alignment vertical="center"/>
    </xf>
    <xf numFmtId="44" fontId="11" fillId="0" borderId="8" xfId="2" applyFont="1" applyBorder="1" applyAlignment="1" applyProtection="1">
      <alignment vertical="center"/>
    </xf>
    <xf numFmtId="44" fontId="11" fillId="0" borderId="40" xfId="2" applyFont="1" applyBorder="1" applyAlignment="1" applyProtection="1">
      <alignment vertical="center"/>
    </xf>
    <xf numFmtId="169" fontId="11" fillId="0" borderId="0" xfId="2" applyNumberFormat="1" applyFont="1" applyFill="1" applyBorder="1" applyAlignment="1" applyProtection="1">
      <alignment vertical="center"/>
    </xf>
    <xf numFmtId="44" fontId="11" fillId="0" borderId="0" xfId="2" applyFont="1" applyFill="1" applyBorder="1" applyAlignment="1" applyProtection="1">
      <alignment vertical="center"/>
    </xf>
    <xf numFmtId="44" fontId="11" fillId="0" borderId="38" xfId="2" applyFont="1" applyBorder="1" applyAlignment="1" applyProtection="1">
      <alignment vertical="center"/>
    </xf>
    <xf numFmtId="44" fontId="11" fillId="0" borderId="33" xfId="2" applyFont="1" applyBorder="1" applyAlignment="1" applyProtection="1">
      <alignment vertical="center"/>
    </xf>
    <xf numFmtId="44" fontId="11" fillId="0" borderId="41" xfId="2" applyFont="1" applyBorder="1" applyAlignment="1" applyProtection="1">
      <alignment vertical="center"/>
    </xf>
    <xf numFmtId="0" fontId="11" fillId="0" borderId="0" xfId="0" applyFont="1" applyAlignment="1">
      <alignment wrapText="1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11" fillId="0" borderId="7" xfId="0" applyFont="1" applyBorder="1" applyAlignment="1" applyProtection="1">
      <alignment horizontal="center" vertical="center" wrapText="1"/>
      <protection locked="0"/>
    </xf>
    <xf numFmtId="44" fontId="11" fillId="0" borderId="1" xfId="2" applyFont="1" applyBorder="1" applyAlignment="1" applyProtection="1">
      <alignment vertical="center"/>
    </xf>
    <xf numFmtId="44" fontId="11" fillId="0" borderId="7" xfId="2" applyFont="1" applyBorder="1" applyAlignment="1" applyProtection="1">
      <alignment vertical="center"/>
    </xf>
    <xf numFmtId="174" fontId="11" fillId="0" borderId="0" xfId="2" applyNumberFormat="1" applyFont="1" applyFill="1" applyBorder="1" applyAlignment="1" applyProtection="1">
      <alignment vertical="center"/>
    </xf>
    <xf numFmtId="175" fontId="11" fillId="0" borderId="0" xfId="0" applyNumberFormat="1" applyFont="1"/>
    <xf numFmtId="44" fontId="11" fillId="0" borderId="5" xfId="2" applyFont="1" applyBorder="1" applyAlignment="1" applyProtection="1">
      <alignment vertical="center"/>
    </xf>
    <xf numFmtId="44" fontId="11" fillId="0" borderId="6" xfId="2" applyFont="1" applyBorder="1" applyAlignment="1" applyProtection="1">
      <alignment vertical="center"/>
    </xf>
    <xf numFmtId="44" fontId="11" fillId="0" borderId="0" xfId="2" applyFont="1" applyFill="1" applyBorder="1" applyAlignment="1">
      <alignment horizontal="right" vertical="center"/>
    </xf>
    <xf numFmtId="44" fontId="2" fillId="0" borderId="0" xfId="2" applyFont="1" applyFill="1" applyBorder="1" applyAlignment="1">
      <alignment horizontal="center" vertical="center" wrapText="1"/>
    </xf>
    <xf numFmtId="44" fontId="11" fillId="0" borderId="0" xfId="2" applyFont="1" applyFill="1" applyBorder="1" applyAlignment="1">
      <alignment horizontal="center" vertical="center" wrapText="1"/>
    </xf>
    <xf numFmtId="44" fontId="2" fillId="0" borderId="0" xfId="2" applyFont="1" applyFill="1" applyBorder="1" applyAlignment="1">
      <alignment horizontal="center" wrapText="1"/>
    </xf>
    <xf numFmtId="44" fontId="11" fillId="0" borderId="0" xfId="2" applyFont="1" applyFill="1" applyBorder="1"/>
    <xf numFmtId="49" fontId="11" fillId="0" borderId="39" xfId="0" applyNumberFormat="1" applyFont="1" applyBorder="1" applyAlignment="1" applyProtection="1">
      <alignment horizontal="center" vertical="center" wrapText="1"/>
      <protection locked="0"/>
    </xf>
    <xf numFmtId="168" fontId="11" fillId="0" borderId="0" xfId="0" applyNumberFormat="1" applyFont="1" applyAlignment="1">
      <alignment wrapText="1"/>
    </xf>
    <xf numFmtId="44" fontId="0" fillId="0" borderId="0" xfId="7" applyFont="1" applyFill="1" applyBorder="1" applyProtection="1"/>
    <xf numFmtId="0" fontId="4" fillId="0" borderId="0" xfId="0" applyFont="1" applyAlignment="1">
      <alignment wrapText="1"/>
    </xf>
    <xf numFmtId="0" fontId="8" fillId="7" borderId="0" xfId="0" applyFont="1" applyFill="1" applyAlignment="1">
      <alignment horizontal="centerContinuous" wrapText="1"/>
    </xf>
    <xf numFmtId="0" fontId="12" fillId="8" borderId="22" xfId="0" applyFont="1" applyFill="1" applyBorder="1" applyAlignment="1">
      <alignment horizontal="center" wrapText="1"/>
    </xf>
    <xf numFmtId="0" fontId="5" fillId="7" borderId="0" xfId="0" applyFont="1" applyFill="1" applyAlignment="1">
      <alignment horizontal="centerContinuous" wrapText="1"/>
    </xf>
    <xf numFmtId="0" fontId="12" fillId="8" borderId="26" xfId="0" applyFont="1" applyFill="1" applyBorder="1" applyAlignment="1">
      <alignment horizontal="center" wrapText="1"/>
    </xf>
    <xf numFmtId="0" fontId="0" fillId="9" borderId="25" xfId="0" applyFont="1" applyFill="1" applyBorder="1" applyAlignment="1">
      <alignment wrapText="1"/>
    </xf>
    <xf numFmtId="0" fontId="0" fillId="0" borderId="25" xfId="0" applyFont="1" applyBorder="1" applyAlignment="1">
      <alignment wrapText="1"/>
    </xf>
    <xf numFmtId="0" fontId="0" fillId="0" borderId="18" xfId="0" applyFont="1" applyBorder="1" applyAlignment="1">
      <alignment wrapText="1"/>
    </xf>
    <xf numFmtId="0" fontId="0" fillId="0" borderId="26" xfId="0" applyFont="1" applyBorder="1" applyAlignment="1">
      <alignment wrapText="1"/>
    </xf>
    <xf numFmtId="0" fontId="12" fillId="8" borderId="21" xfId="0" applyFont="1" applyFill="1" applyBorder="1" applyAlignment="1">
      <alignment horizontal="center" wrapText="1"/>
    </xf>
    <xf numFmtId="0" fontId="8" fillId="7" borderId="22" xfId="0" applyFont="1" applyFill="1" applyBorder="1" applyAlignment="1">
      <alignment horizontal="centerContinuous" wrapText="1"/>
    </xf>
    <xf numFmtId="0" fontId="12" fillId="8" borderId="19" xfId="0" applyFont="1" applyFill="1" applyBorder="1" applyAlignment="1">
      <alignment horizontal="center" wrapText="1"/>
    </xf>
    <xf numFmtId="0" fontId="0" fillId="9" borderId="19" xfId="0" applyFont="1" applyFill="1" applyBorder="1" applyAlignment="1">
      <alignment wrapText="1"/>
    </xf>
    <xf numFmtId="0" fontId="0" fillId="0" borderId="19" xfId="0" applyFont="1" applyBorder="1" applyAlignment="1">
      <alignment wrapText="1"/>
    </xf>
    <xf numFmtId="44" fontId="0" fillId="0" borderId="0" xfId="7" applyFont="1" applyFill="1" applyBorder="1" applyAlignment="1" applyProtection="1">
      <alignment wrapText="1"/>
    </xf>
    <xf numFmtId="0" fontId="12" fillId="8" borderId="18" xfId="0" applyFont="1" applyFill="1" applyBorder="1" applyAlignment="1">
      <alignment horizontal="center" wrapText="1"/>
    </xf>
    <xf numFmtId="0" fontId="0" fillId="10" borderId="18" xfId="0" applyFont="1" applyFill="1" applyBorder="1" applyAlignment="1">
      <alignment wrapText="1"/>
    </xf>
    <xf numFmtId="0" fontId="0" fillId="6" borderId="18" xfId="0" applyFont="1" applyFill="1" applyBorder="1" applyAlignment="1">
      <alignment wrapText="1"/>
    </xf>
    <xf numFmtId="0" fontId="0" fillId="0" borderId="0" xfId="0" applyFont="1" applyAlignment="1">
      <alignment wrapText="1"/>
    </xf>
    <xf numFmtId="44" fontId="0" fillId="0" borderId="0" xfId="7" applyFont="1" applyFill="1" applyBorder="1" applyAlignment="1" applyProtection="1">
      <alignment horizontal="right" wrapText="1"/>
    </xf>
    <xf numFmtId="44" fontId="0" fillId="0" borderId="0" xfId="7" quotePrefix="1" applyFont="1" applyFill="1" applyBorder="1" applyAlignment="1" applyProtection="1">
      <alignment horizontal="right" wrapText="1"/>
    </xf>
    <xf numFmtId="44" fontId="0" fillId="9" borderId="19" xfId="6" applyNumberFormat="1" applyFont="1" applyFill="1" applyBorder="1" applyAlignment="1">
      <alignment wrapText="1"/>
    </xf>
    <xf numFmtId="6" fontId="0" fillId="9" borderId="19" xfId="6" applyNumberFormat="1" applyFont="1" applyFill="1" applyBorder="1" applyAlignment="1">
      <alignment horizontal="center"/>
    </xf>
    <xf numFmtId="0" fontId="8" fillId="7" borderId="0" xfId="0" applyFont="1" applyFill="1" applyBorder="1" applyAlignment="1" applyProtection="1">
      <alignment horizontal="centerContinuous"/>
    </xf>
    <xf numFmtId="0" fontId="27" fillId="20" borderId="44" xfId="5" applyFont="1" applyFill="1" applyBorder="1" applyAlignment="1" applyProtection="1">
      <alignment horizontal="center" wrapText="1"/>
    </xf>
    <xf numFmtId="0" fontId="12" fillId="8" borderId="25" xfId="5" applyNumberFormat="1" applyFont="1" applyFill="1" applyBorder="1" applyAlignment="1">
      <alignment horizontal="center" wrapText="1"/>
    </xf>
    <xf numFmtId="0" fontId="12" fillId="8" borderId="24" xfId="5" applyNumberFormat="1" applyFont="1" applyFill="1" applyBorder="1" applyAlignment="1">
      <alignment horizontal="center" wrapText="1"/>
    </xf>
    <xf numFmtId="0" fontId="12" fillId="8" borderId="24" xfId="5" applyNumberFormat="1" applyFont="1" applyFill="1" applyBorder="1" applyAlignment="1">
      <alignment horizontal="center"/>
    </xf>
    <xf numFmtId="0" fontId="12" fillId="8" borderId="52" xfId="5" applyNumberFormat="1" applyFont="1" applyFill="1" applyBorder="1" applyAlignment="1">
      <alignment horizontal="center"/>
    </xf>
    <xf numFmtId="0" fontId="8" fillId="9" borderId="25" xfId="5" applyNumberFormat="1" applyFont="1" applyFill="1" applyBorder="1" applyAlignment="1">
      <alignment horizontal="right" wrapText="1"/>
    </xf>
    <xf numFmtId="165" fontId="0" fillId="9" borderId="24" xfId="5" applyNumberFormat="1" applyFont="1" applyFill="1" applyBorder="1" applyAlignment="1">
      <alignment wrapText="1"/>
    </xf>
    <xf numFmtId="165" fontId="0" fillId="9" borderId="24" xfId="5" applyNumberFormat="1" applyFont="1" applyFill="1" applyBorder="1" applyAlignment="1"/>
    <xf numFmtId="165" fontId="0" fillId="9" borderId="52" xfId="5" applyNumberFormat="1" applyFont="1" applyFill="1" applyBorder="1" applyAlignment="1"/>
    <xf numFmtId="0" fontId="8" fillId="0" borderId="18" xfId="5" applyNumberFormat="1" applyFont="1" applyBorder="1" applyAlignment="1">
      <alignment horizontal="right" wrapText="1"/>
    </xf>
    <xf numFmtId="165" fontId="0" fillId="0" borderId="19" xfId="5" applyNumberFormat="1" applyFont="1" applyBorder="1" applyAlignment="1">
      <alignment wrapText="1"/>
    </xf>
    <xf numFmtId="165" fontId="0" fillId="0" borderId="19" xfId="5" applyNumberFormat="1" applyFont="1" applyBorder="1" applyAlignment="1"/>
    <xf numFmtId="165" fontId="0" fillId="0" borderId="20" xfId="5" applyNumberFormat="1" applyFont="1" applyBorder="1" applyAlignment="1"/>
    <xf numFmtId="0" fontId="12" fillId="8" borderId="25" xfId="0" applyFont="1" applyFill="1" applyBorder="1" applyAlignment="1">
      <alignment horizontal="center" wrapText="1"/>
    </xf>
    <xf numFmtId="0" fontId="0" fillId="0" borderId="25" xfId="0" applyFont="1" applyFill="1" applyBorder="1"/>
    <xf numFmtId="0" fontId="0" fillId="0" borderId="0" xfId="0" applyFont="1" applyAlignment="1">
      <alignment horizontal="right" wrapText="1"/>
    </xf>
    <xf numFmtId="0" fontId="0" fillId="0" borderId="0" xfId="0" applyFont="1" applyAlignment="1">
      <alignment horizontal="right"/>
    </xf>
    <xf numFmtId="0" fontId="0" fillId="0" borderId="0" xfId="0" applyFont="1" applyAlignment="1">
      <alignment horizontal="center" wrapText="1"/>
    </xf>
    <xf numFmtId="0" fontId="0" fillId="6" borderId="0" xfId="0" applyFont="1" applyFill="1" applyAlignment="1">
      <alignment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wrapText="1"/>
    </xf>
    <xf numFmtId="0" fontId="0" fillId="0" borderId="0" xfId="0" applyFont="1" applyFill="1"/>
    <xf numFmtId="0" fontId="0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horizontal="left" wrapText="1"/>
    </xf>
    <xf numFmtId="165" fontId="0" fillId="0" borderId="0" xfId="5" applyNumberFormat="1" applyFont="1" applyFill="1" applyBorder="1" applyAlignment="1" applyProtection="1">
      <alignment horizontal="center"/>
    </xf>
    <xf numFmtId="165" fontId="0" fillId="0" borderId="0" xfId="5" applyNumberFormat="1" applyFont="1" applyFill="1" applyBorder="1" applyAlignment="1" applyProtection="1">
      <alignment horizontal="left"/>
    </xf>
    <xf numFmtId="0" fontId="0" fillId="0" borderId="0" xfId="5" applyFont="1" applyFill="1" applyProtection="1"/>
    <xf numFmtId="0" fontId="0" fillId="0" borderId="0" xfId="0" applyFont="1" applyBorder="1" applyProtection="1"/>
    <xf numFmtId="0" fontId="0" fillId="0" borderId="0" xfId="5" applyFont="1" applyFill="1" applyBorder="1" applyProtection="1"/>
    <xf numFmtId="0" fontId="0" fillId="0" borderId="0" xfId="5" applyFont="1" applyFill="1" applyBorder="1" applyAlignment="1" applyProtection="1">
      <alignment horizontal="right" wrapText="1"/>
    </xf>
    <xf numFmtId="0" fontId="0" fillId="0" borderId="0" xfId="5" applyFont="1" applyFill="1" applyBorder="1" applyAlignment="1" applyProtection="1">
      <alignment horizontal="right"/>
    </xf>
    <xf numFmtId="44" fontId="0" fillId="0" borderId="0" xfId="6" applyFont="1" applyFill="1" applyBorder="1" applyProtection="1"/>
    <xf numFmtId="6" fontId="0" fillId="0" borderId="0" xfId="6" quotePrefix="1" applyNumberFormat="1" applyFont="1" applyFill="1" applyBorder="1" applyAlignment="1" applyProtection="1">
      <alignment horizontal="center"/>
    </xf>
    <xf numFmtId="0" fontId="0" fillId="0" borderId="0" xfId="5" applyFont="1" applyFill="1" applyBorder="1" applyAlignment="1" applyProtection="1">
      <alignment horizontal="right" vertical="center" wrapText="1"/>
    </xf>
    <xf numFmtId="0" fontId="0" fillId="0" borderId="0" xfId="5" applyFont="1" applyFill="1" applyBorder="1" applyAlignment="1" applyProtection="1">
      <alignment horizontal="right" vertical="center"/>
    </xf>
    <xf numFmtId="0" fontId="0" fillId="0" borderId="0" xfId="5" applyFont="1" applyFill="1" applyBorder="1" applyAlignment="1" applyProtection="1">
      <alignment vertical="center"/>
    </xf>
    <xf numFmtId="44" fontId="0" fillId="0" borderId="0" xfId="6" applyFont="1" applyFill="1" applyBorder="1" applyAlignment="1" applyProtection="1">
      <alignment horizontal="center" wrapText="1"/>
    </xf>
    <xf numFmtId="0" fontId="0" fillId="0" borderId="0" xfId="5" applyFont="1" applyFill="1" applyAlignment="1" applyProtection="1">
      <alignment horizontal="right" vertical="center"/>
    </xf>
    <xf numFmtId="0" fontId="0" fillId="0" borderId="0" xfId="5" applyFont="1" applyFill="1" applyBorder="1" applyAlignment="1" applyProtection="1">
      <alignment wrapText="1"/>
    </xf>
    <xf numFmtId="0" fontId="4" fillId="0" borderId="0" xfId="0" applyFont="1" applyFill="1" applyBorder="1" applyAlignment="1" applyProtection="1">
      <alignment wrapText="1"/>
    </xf>
    <xf numFmtId="0" fontId="12" fillId="0" borderId="0" xfId="0" applyFont="1" applyFill="1" applyBorder="1" applyAlignment="1" applyProtection="1">
      <alignment horizontal="left" wrapText="1"/>
    </xf>
    <xf numFmtId="0" fontId="5" fillId="0" borderId="0" xfId="0" applyFont="1" applyFill="1" applyBorder="1" applyAlignment="1" applyProtection="1">
      <alignment horizontal="left" wrapText="1"/>
    </xf>
    <xf numFmtId="0" fontId="28" fillId="0" borderId="0" xfId="0" applyFont="1" applyFill="1" applyBorder="1" applyAlignment="1" applyProtection="1">
      <alignment horizontal="left" wrapText="1"/>
    </xf>
    <xf numFmtId="0" fontId="28" fillId="0" borderId="0" xfId="0" applyFont="1" applyFill="1" applyBorder="1" applyAlignment="1" applyProtection="1">
      <alignment horizontal="center"/>
    </xf>
    <xf numFmtId="14" fontId="4" fillId="0" borderId="0" xfId="0" applyNumberFormat="1" applyFont="1" applyFill="1" applyBorder="1" applyProtection="1"/>
    <xf numFmtId="14" fontId="4" fillId="0" borderId="0" xfId="0" applyNumberFormat="1" applyFont="1" applyFill="1" applyProtection="1"/>
    <xf numFmtId="0" fontId="14" fillId="0" borderId="0" xfId="0" applyFont="1" applyFill="1" applyBorder="1" applyAlignment="1" applyProtection="1">
      <alignment horizontal="left" wrapText="1"/>
    </xf>
    <xf numFmtId="0" fontId="14" fillId="0" borderId="0" xfId="0" applyFont="1" applyFill="1" applyBorder="1" applyAlignment="1" applyProtection="1">
      <alignment horizontal="center" wrapText="1"/>
    </xf>
    <xf numFmtId="0" fontId="4" fillId="0" borderId="0" xfId="0" applyFont="1" applyFill="1" applyBorder="1" applyAlignment="1" applyProtection="1">
      <alignment horizontal="left" wrapText="1"/>
    </xf>
    <xf numFmtId="44" fontId="4" fillId="0" borderId="0" xfId="7" applyFont="1" applyFill="1" applyBorder="1" applyProtection="1"/>
    <xf numFmtId="0" fontId="28" fillId="0" borderId="0" xfId="5" quotePrefix="1" applyFont="1" applyFill="1" applyBorder="1" applyAlignment="1" applyProtection="1">
      <alignment wrapText="1"/>
    </xf>
    <xf numFmtId="0" fontId="5" fillId="0" borderId="0" xfId="5" quotePrefix="1" applyFont="1" applyFill="1" applyBorder="1" applyAlignment="1" applyProtection="1">
      <alignment wrapText="1"/>
    </xf>
    <xf numFmtId="0" fontId="5" fillId="7" borderId="0" xfId="5" applyFont="1" applyFill="1" applyBorder="1" applyAlignment="1" applyProtection="1">
      <alignment horizontal="centerContinuous" wrapText="1"/>
    </xf>
    <xf numFmtId="0" fontId="5" fillId="7" borderId="0" xfId="5" applyFont="1" applyFill="1" applyBorder="1" applyAlignment="1" applyProtection="1">
      <alignment horizontal="centerContinuous"/>
    </xf>
    <xf numFmtId="0" fontId="12" fillId="8" borderId="26" xfId="5" applyNumberFormat="1" applyFont="1" applyFill="1" applyBorder="1" applyAlignment="1">
      <alignment horizontal="left" wrapText="1"/>
    </xf>
    <xf numFmtId="0" fontId="29" fillId="8" borderId="0" xfId="5" applyNumberFormat="1" applyFont="1" applyFill="1" applyBorder="1" applyAlignment="1">
      <alignment horizontal="center" wrapText="1"/>
    </xf>
    <xf numFmtId="0" fontId="29" fillId="8" borderId="0" xfId="5" applyNumberFormat="1" applyFont="1" applyFill="1" applyBorder="1" applyAlignment="1">
      <alignment horizontal="center"/>
    </xf>
    <xf numFmtId="0" fontId="4" fillId="9" borderId="18" xfId="5" applyNumberFormat="1" applyFont="1" applyFill="1" applyBorder="1" applyAlignment="1">
      <alignment horizontal="left" wrapText="1"/>
    </xf>
    <xf numFmtId="0" fontId="4" fillId="0" borderId="0" xfId="5" applyFont="1" applyFill="1" applyBorder="1" applyAlignment="1" applyProtection="1">
      <alignment horizontal="right" wrapText="1"/>
    </xf>
    <xf numFmtId="0" fontId="5" fillId="0" borderId="0" xfId="5" applyFont="1" applyFill="1" applyBorder="1" applyAlignment="1" applyProtection="1">
      <alignment horizontal="left" vertical="center" wrapText="1"/>
    </xf>
    <xf numFmtId="0" fontId="4" fillId="0" borderId="0" xfId="5" applyFont="1" applyFill="1" applyBorder="1" applyAlignment="1" applyProtection="1">
      <alignment horizontal="right" vertical="center" wrapText="1"/>
    </xf>
    <xf numFmtId="0" fontId="4" fillId="0" borderId="0" xfId="0" applyFont="1" applyAlignment="1" applyProtection="1">
      <alignment wrapText="1"/>
    </xf>
    <xf numFmtId="0" fontId="4" fillId="0" borderId="0" xfId="5" applyFont="1" applyFill="1" applyBorder="1" applyAlignment="1" applyProtection="1"/>
    <xf numFmtId="44" fontId="0" fillId="22" borderId="0" xfId="2" applyFont="1" applyFill="1"/>
    <xf numFmtId="0" fontId="0" fillId="22" borderId="0" xfId="0" applyFont="1" applyFill="1"/>
    <xf numFmtId="0" fontId="8" fillId="7" borderId="0" xfId="0" applyFont="1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left"/>
    </xf>
    <xf numFmtId="0" fontId="0" fillId="2" borderId="0" xfId="0" applyFill="1" applyAlignment="1">
      <alignment horizontal="centerContinuous" wrapText="1"/>
    </xf>
    <xf numFmtId="0" fontId="0" fillId="0" borderId="0" xfId="0" applyAlignment="1">
      <alignment wrapText="1"/>
    </xf>
    <xf numFmtId="0" fontId="0" fillId="23" borderId="0" xfId="0" applyFill="1"/>
    <xf numFmtId="0" fontId="0" fillId="9" borderId="18" xfId="0" applyFont="1" applyFill="1" applyBorder="1" applyAlignment="1">
      <alignment wrapText="1"/>
    </xf>
    <xf numFmtId="9" fontId="0" fillId="9" borderId="20" xfId="8" applyNumberFormat="1" applyFont="1" applyFill="1" applyBorder="1" applyAlignment="1">
      <alignment horizontal="right"/>
    </xf>
    <xf numFmtId="0" fontId="12" fillId="8" borderId="24" xfId="0" applyFont="1" applyFill="1" applyBorder="1" applyAlignment="1">
      <alignment horizontal="center" wrapText="1"/>
    </xf>
    <xf numFmtId="0" fontId="12" fillId="8" borderId="52" xfId="0" applyFont="1" applyFill="1" applyBorder="1" applyAlignment="1">
      <alignment horizontal="center"/>
    </xf>
    <xf numFmtId="0" fontId="0" fillId="9" borderId="24" xfId="0" applyFont="1" applyFill="1" applyBorder="1" applyAlignment="1">
      <alignment wrapText="1"/>
    </xf>
    <xf numFmtId="44" fontId="0" fillId="9" borderId="52" xfId="2" applyNumberFormat="1" applyFont="1" applyFill="1" applyBorder="1" applyAlignment="1">
      <alignment horizontal="right"/>
    </xf>
    <xf numFmtId="0" fontId="0" fillId="0" borderId="24" xfId="0" applyFont="1" applyBorder="1" applyAlignment="1">
      <alignment wrapText="1"/>
    </xf>
    <xf numFmtId="44" fontId="0" fillId="0" borderId="52" xfId="2" applyNumberFormat="1" applyFont="1" applyBorder="1" applyAlignment="1">
      <alignment horizontal="right"/>
    </xf>
    <xf numFmtId="9" fontId="0" fillId="9" borderId="52" xfId="8" applyNumberFormat="1" applyFont="1" applyFill="1" applyBorder="1" applyAlignment="1">
      <alignment horizontal="right"/>
    </xf>
    <xf numFmtId="9" fontId="0" fillId="0" borderId="52" xfId="8" applyNumberFormat="1" applyFont="1" applyBorder="1" applyAlignment="1">
      <alignment horizontal="right"/>
    </xf>
    <xf numFmtId="176" fontId="0" fillId="2" borderId="0" xfId="0" applyNumberFormat="1" applyFill="1" applyAlignment="1">
      <alignment horizontal="centerContinuous"/>
    </xf>
    <xf numFmtId="176" fontId="0" fillId="0" borderId="0" xfId="2" applyNumberFormat="1" applyFont="1"/>
    <xf numFmtId="176" fontId="0" fillId="23" borderId="0" xfId="0" applyNumberFormat="1" applyFill="1"/>
    <xf numFmtId="176" fontId="0" fillId="0" borderId="0" xfId="0" applyNumberFormat="1"/>
    <xf numFmtId="0" fontId="8" fillId="0" borderId="0" xfId="0" applyNumberFormat="1" applyFont="1" applyAlignment="1">
      <alignment wrapText="1"/>
    </xf>
    <xf numFmtId="0" fontId="8" fillId="0" borderId="0" xfId="0" applyNumberFormat="1" applyFont="1"/>
    <xf numFmtId="0" fontId="30" fillId="0" borderId="0" xfId="0" applyNumberFormat="1" applyFont="1" applyFill="1" applyBorder="1" applyAlignment="1" applyProtection="1">
      <alignment horizontal="center"/>
    </xf>
    <xf numFmtId="0" fontId="12" fillId="8" borderId="59" xfId="0" applyNumberFormat="1" applyFont="1" applyFill="1" applyBorder="1" applyAlignment="1">
      <alignment wrapText="1"/>
    </xf>
    <xf numFmtId="0" fontId="12" fillId="8" borderId="60" xfId="0" applyNumberFormat="1" applyFont="1" applyFill="1" applyBorder="1"/>
    <xf numFmtId="0" fontId="12" fillId="8" borderId="61" xfId="0" applyNumberFormat="1" applyFont="1" applyFill="1" applyBorder="1"/>
    <xf numFmtId="0" fontId="0" fillId="0" borderId="0" xfId="0" applyNumberFormat="1"/>
    <xf numFmtId="177" fontId="0" fillId="0" borderId="0" xfId="0" applyNumberFormat="1"/>
    <xf numFmtId="177" fontId="0" fillId="0" borderId="0" xfId="2" applyNumberFormat="1" applyFont="1"/>
    <xf numFmtId="177" fontId="0" fillId="0" borderId="0" xfId="2" applyNumberFormat="1" applyFont="1" applyFill="1"/>
    <xf numFmtId="178" fontId="0" fillId="0" borderId="0" xfId="2" applyNumberFormat="1" applyFont="1" applyFill="1"/>
    <xf numFmtId="0" fontId="0" fillId="24" borderId="25" xfId="0" applyFont="1" applyFill="1" applyBorder="1" applyAlignment="1">
      <alignment wrapText="1"/>
    </xf>
    <xf numFmtId="0" fontId="0" fillId="24" borderId="25" xfId="0" applyFont="1" applyFill="1" applyBorder="1"/>
    <xf numFmtId="0" fontId="0" fillId="9" borderId="18" xfId="0" applyFont="1" applyFill="1" applyBorder="1"/>
    <xf numFmtId="176" fontId="0" fillId="0" borderId="0" xfId="0" applyNumberFormat="1" applyFont="1" applyFill="1" applyBorder="1"/>
    <xf numFmtId="0" fontId="0" fillId="0" borderId="0" xfId="0" applyFont="1" applyFill="1" applyBorder="1"/>
    <xf numFmtId="0" fontId="13" fillId="4" borderId="0" xfId="0" applyFont="1" applyFill="1" applyAlignment="1">
      <alignment horizontal="center"/>
    </xf>
    <xf numFmtId="0" fontId="27" fillId="20" borderId="57" xfId="5" applyFont="1" applyFill="1" applyBorder="1" applyAlignment="1" applyProtection="1">
      <alignment horizontal="center"/>
    </xf>
    <xf numFmtId="0" fontId="20" fillId="20" borderId="58" xfId="5" applyFont="1" applyFill="1" applyBorder="1" applyAlignment="1" applyProtection="1">
      <alignment horizontal="center"/>
    </xf>
    <xf numFmtId="0" fontId="20" fillId="20" borderId="42" xfId="5" applyFont="1" applyFill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0" fontId="3" fillId="0" borderId="32" xfId="0" applyFont="1" applyBorder="1" applyAlignment="1" applyProtection="1">
      <alignment horizontal="center" vertical="center" wrapText="1"/>
      <protection locked="0"/>
    </xf>
    <xf numFmtId="0" fontId="3" fillId="0" borderId="13" xfId="0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44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0">
    <cellStyle name="Comma" xfId="1" builtinId="3"/>
    <cellStyle name="Currency" xfId="2" builtinId="4"/>
    <cellStyle name="Currency 2" xfId="7"/>
    <cellStyle name="Currency 3" xfId="6"/>
    <cellStyle name="Normal" xfId="0" builtinId="0"/>
    <cellStyle name="Normal 2" xfId="9"/>
    <cellStyle name="Normal 3" xfId="3"/>
    <cellStyle name="Normal 4" xfId="5"/>
    <cellStyle name="Percent" xfId="8" builtinId="5"/>
    <cellStyle name="Percent 3" xfId="4"/>
  </cellStyles>
  <dxfs count="399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&quot;$&quot;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right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166" formatCode="0.000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8" formatCode="0.000000000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vertical="top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protection locked="1" hidden="0"/>
    </dxf>
    <dxf>
      <font>
        <sz val="11"/>
        <color theme="1"/>
        <name val="Calibri"/>
        <family val="2"/>
        <scheme val="minor"/>
      </font>
      <numFmt numFmtId="1" formatCode="0"/>
      <protection locked="1" hidden="0"/>
    </dxf>
    <dxf>
      <numFmt numFmtId="173" formatCode="0.000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alignment horizontal="left" vertical="center" textRotation="0" wrapText="0" relativeIndent="0" justifyLastLine="0" shrinkToFit="0" readingOrder="0"/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68" formatCode="0.00000000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ont>
        <color auto="1"/>
      </font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  <fill>
        <patternFill patternType="solid">
          <fgColor indexed="64"/>
          <bgColor theme="1" tint="0.499984740745262"/>
        </patternFill>
      </fill>
    </dxf>
    <dxf>
      <fill>
        <patternFill patternType="solid">
          <fgColor indexed="64"/>
          <bgColor theme="1" tint="0.499984740745262"/>
        </patternFill>
      </fill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  <fill>
        <patternFill patternType="solid">
          <fgColor indexed="64"/>
          <bgColor theme="1" tint="0.499984740745262"/>
        </patternFill>
      </fill>
    </dxf>
    <dxf>
      <fill>
        <patternFill patternType="solid">
          <fgColor indexed="64"/>
          <bgColor theme="1" tint="0.499984740745262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76" formatCode="_([$$-409]* #,##0.0000_);_([$$-409]* \(#,##0.0000\);_([$$-409]* &quot;-&quot;????_);_(@_)"/>
    </dxf>
    <dxf>
      <numFmt numFmtId="176" formatCode="_([$$-409]* #,##0.0000_);_([$$-409]* \(#,##0.0000\);_([$$-409]* &quot;-&quot;????_);_(@_)"/>
      <fill>
        <patternFill patternType="solid">
          <fgColor indexed="64"/>
          <bgColor theme="1" tint="0.499984740745262"/>
        </patternFill>
      </fill>
    </dxf>
    <dxf>
      <fill>
        <patternFill patternType="solid">
          <fgColor indexed="64"/>
          <bgColor theme="1" tint="0.499984740745262"/>
        </patternFill>
      </fill>
    </dxf>
    <dxf>
      <numFmt numFmtId="176" formatCode="_([$$-409]* #,##0.0000_);_([$$-409]* \(#,##0.0000\);_([$$-409]* &quot;-&quot;????_);_(@_)"/>
    </dxf>
    <dxf>
      <alignment horizontal="general" vertical="bottom" textRotation="0" wrapText="1" indent="0" justifyLastLine="0" shrinkToFit="0" readingOrder="0"/>
    </dxf>
    <dxf>
      <font>
        <b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alignment horizontal="general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1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</font>
      <fill>
        <patternFill patternType="none">
          <fgColor indexed="64"/>
          <bgColor auto="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0" formatCode="&quot;$&quot;#,##0_);[Red]\(&quot;$&quot;#,##0\)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 tint="0.79998168889431442"/>
          <bgColor theme="8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8" tint="0.39997558519241921"/>
        </left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8" tint="0.79998168889431442"/>
          <bgColor theme="8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8" tint="0.39997558519241921"/>
        </top>
        <bottom style="thin">
          <color theme="8" tint="0.39997558519241921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4" formatCode="_(&quot;$&quot;* #,##0.00_);_(&quot;$&quot;* \(#,##0.00\);_(&quot;$&quot;* &quot;-&quot;??_);_(@_)"/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8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textRotation="0" wrapText="1" indent="0" justifyLastLine="0" shrinkToFit="0" readingOrder="0"/>
      <border diagonalUp="0" diagonalDown="0" outline="0">
        <left style="thin">
          <color theme="8" tint="0.39997558519241921"/>
        </left>
        <right/>
        <top style="thin">
          <color theme="8" tint="0.39997558519241921"/>
        </top>
        <bottom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right style="thin">
          <color theme="8" tint="0.39997558519241921"/>
        </right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border outline="0">
        <top style="thin">
          <color theme="8" tint="0.39997558519241921"/>
        </top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8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70" formatCode="_(* #,##0_);_(* \(#,##0\);_(* &quot;-&quot;??_);_(@_)"/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1</xdr:row>
      <xdr:rowOff>9525</xdr:rowOff>
    </xdr:from>
    <xdr:to>
      <xdr:col>8</xdr:col>
      <xdr:colOff>2171700</xdr:colOff>
      <xdr:row>7</xdr:row>
      <xdr:rowOff>314324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1D1E367-DC40-49D2-9D6A-03F0BDE0EFF3}"/>
            </a:ext>
          </a:extLst>
        </xdr:cNvPr>
        <xdr:cNvGrpSpPr/>
      </xdr:nvGrpSpPr>
      <xdr:grpSpPr>
        <a:xfrm>
          <a:off x="8372476" y="171450"/>
          <a:ext cx="3000374" cy="2133599"/>
          <a:chOff x="8372475" y="190500"/>
          <a:chExt cx="3638550" cy="2241065"/>
        </a:xfrm>
      </xdr:grpSpPr>
      <xdr:sp macro="[0]!clearAllEnvs" textlink="">
        <xdr:nvSpPr>
          <xdr:cNvPr id="2" name="Rectangle: Beveled 1">
            <a:extLst>
              <a:ext uri="{FF2B5EF4-FFF2-40B4-BE49-F238E27FC236}">
                <a16:creationId xmlns:a16="http://schemas.microsoft.com/office/drawing/2014/main" id="{4CAD63A5-6DA1-4DAD-ADED-24F0A9BD7E10}"/>
              </a:ext>
            </a:extLst>
          </xdr:cNvPr>
          <xdr:cNvSpPr/>
        </xdr:nvSpPr>
        <xdr:spPr>
          <a:xfrm>
            <a:off x="8372475" y="190500"/>
            <a:ext cx="363855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 All</a:t>
            </a:r>
          </a:p>
        </xdr:txBody>
      </xdr:sp>
      <xdr:sp macro="[0]!clearOption1Envs" textlink="">
        <xdr:nvSpPr>
          <xdr:cNvPr id="3" name="Rectangle: Beveled 2">
            <a:extLst>
              <a:ext uri="{FF2B5EF4-FFF2-40B4-BE49-F238E27FC236}">
                <a16:creationId xmlns:a16="http://schemas.microsoft.com/office/drawing/2014/main" id="{5217F936-0A0F-419D-835D-E46E5859A6A7}"/>
              </a:ext>
            </a:extLst>
          </xdr:cNvPr>
          <xdr:cNvSpPr/>
        </xdr:nvSpPr>
        <xdr:spPr>
          <a:xfrm>
            <a:off x="8372475" y="564048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1</a:t>
            </a:r>
            <a:endParaRPr lang="en-US" sz="1400" b="1"/>
          </a:p>
        </xdr:txBody>
      </xdr:sp>
      <xdr:sp macro="[0]!clearOption2Envs" textlink="">
        <xdr:nvSpPr>
          <xdr:cNvPr id="4" name="Rectangle: Beveled 3">
            <a:extLst>
              <a:ext uri="{FF2B5EF4-FFF2-40B4-BE49-F238E27FC236}">
                <a16:creationId xmlns:a16="http://schemas.microsoft.com/office/drawing/2014/main" id="{40CF59FA-B850-4D8D-8F04-E6A4BD4CB0FF}"/>
              </a:ext>
            </a:extLst>
          </xdr:cNvPr>
          <xdr:cNvSpPr/>
        </xdr:nvSpPr>
        <xdr:spPr>
          <a:xfrm>
            <a:off x="8372475" y="935934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2</a:t>
            </a:r>
            <a:endParaRPr lang="en-US" sz="1400" b="1"/>
          </a:p>
        </xdr:txBody>
      </xdr:sp>
      <xdr:sp macro="[0]!clearOption3Envs" textlink="">
        <xdr:nvSpPr>
          <xdr:cNvPr id="5" name="Rectangle: Beveled 4">
            <a:extLst>
              <a:ext uri="{FF2B5EF4-FFF2-40B4-BE49-F238E27FC236}">
                <a16:creationId xmlns:a16="http://schemas.microsoft.com/office/drawing/2014/main" id="{A50066F4-F2FE-4A34-A3C0-A92DAFE1AC32}"/>
              </a:ext>
            </a:extLst>
          </xdr:cNvPr>
          <xdr:cNvSpPr/>
        </xdr:nvSpPr>
        <xdr:spPr>
          <a:xfrm>
            <a:off x="8372475" y="1313703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3</a:t>
            </a:r>
            <a:endParaRPr lang="en-US" sz="1400" b="1"/>
          </a:p>
        </xdr:txBody>
      </xdr:sp>
      <xdr:sp macro="[0]!clearOption4Envs" textlink="">
        <xdr:nvSpPr>
          <xdr:cNvPr id="6" name="Rectangle: Beveled 5">
            <a:extLst>
              <a:ext uri="{FF2B5EF4-FFF2-40B4-BE49-F238E27FC236}">
                <a16:creationId xmlns:a16="http://schemas.microsoft.com/office/drawing/2014/main" id="{47427B17-3CC6-469A-BEE8-04CDFF52F3DA}"/>
              </a:ext>
            </a:extLst>
          </xdr:cNvPr>
          <xdr:cNvSpPr/>
        </xdr:nvSpPr>
        <xdr:spPr>
          <a:xfrm>
            <a:off x="8372475" y="1689793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4</a:t>
            </a:r>
            <a:endParaRPr lang="en-US" sz="1400" b="1"/>
          </a:p>
        </xdr:txBody>
      </xdr:sp>
      <xdr:sp macro="[0]!clearOption5Envs" textlink="">
        <xdr:nvSpPr>
          <xdr:cNvPr id="7" name="Rectangle: Beveled 6">
            <a:extLst>
              <a:ext uri="{FF2B5EF4-FFF2-40B4-BE49-F238E27FC236}">
                <a16:creationId xmlns:a16="http://schemas.microsoft.com/office/drawing/2014/main" id="{8B2455C2-1CFE-4B39-8929-053AB6FA3A46}"/>
              </a:ext>
            </a:extLst>
          </xdr:cNvPr>
          <xdr:cNvSpPr/>
        </xdr:nvSpPr>
        <xdr:spPr>
          <a:xfrm>
            <a:off x="8372475" y="2065805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5</a:t>
            </a:r>
            <a:endParaRPr lang="en-US" sz="1400" b="1"/>
          </a:p>
        </xdr:txBody>
      </xdr:sp>
      <xdr:sp macro="[0]!populate10Envs" textlink="">
        <xdr:nvSpPr>
          <xdr:cNvPr id="8" name="Rectangle: Beveled 7">
            <a:extLst>
              <a:ext uri="{FF2B5EF4-FFF2-40B4-BE49-F238E27FC236}">
                <a16:creationId xmlns:a16="http://schemas.microsoft.com/office/drawing/2014/main" id="{86CDBC32-0F49-45BF-8254-95CCF069750E}"/>
              </a:ext>
            </a:extLst>
          </xdr:cNvPr>
          <xdr:cNvSpPr/>
        </xdr:nvSpPr>
        <xdr:spPr>
          <a:xfrm>
            <a:off x="10067925" y="565729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#10</a:t>
            </a:r>
            <a:endParaRPr lang="en-US" sz="1400" b="1"/>
          </a:p>
        </xdr:txBody>
      </xdr:sp>
      <xdr:sp macro="[0]!populate6x9Envs" textlink="">
        <xdr:nvSpPr>
          <xdr:cNvPr id="9" name="Rectangle: Beveled 8">
            <a:extLst>
              <a:ext uri="{FF2B5EF4-FFF2-40B4-BE49-F238E27FC236}">
                <a16:creationId xmlns:a16="http://schemas.microsoft.com/office/drawing/2014/main" id="{AE574C8F-2870-45CE-8907-D32E7DA760AC}"/>
              </a:ext>
            </a:extLst>
          </xdr:cNvPr>
          <xdr:cNvSpPr/>
        </xdr:nvSpPr>
        <xdr:spPr>
          <a:xfrm>
            <a:off x="10067925" y="938456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6 x 9</a:t>
            </a:r>
          </a:p>
        </xdr:txBody>
      </xdr:sp>
      <xdr:sp macro="[0]!populateA7Envs" textlink="">
        <xdr:nvSpPr>
          <xdr:cNvPr id="10" name="Rectangle: Beveled 9">
            <a:extLst>
              <a:ext uri="{FF2B5EF4-FFF2-40B4-BE49-F238E27FC236}">
                <a16:creationId xmlns:a16="http://schemas.microsoft.com/office/drawing/2014/main" id="{3DE7A62E-0969-424C-9A45-264848E43102}"/>
              </a:ext>
            </a:extLst>
          </xdr:cNvPr>
          <xdr:cNvSpPr/>
        </xdr:nvSpPr>
        <xdr:spPr>
          <a:xfrm>
            <a:off x="10067925" y="1312022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A7</a:t>
            </a:r>
          </a:p>
        </xdr:txBody>
      </xdr:sp>
      <xdr:sp macro="[0]!populateGeneralEnvs" textlink="">
        <xdr:nvSpPr>
          <xdr:cNvPr id="11" name="Rectangle: Beveled 10">
            <a:extLst>
              <a:ext uri="{FF2B5EF4-FFF2-40B4-BE49-F238E27FC236}">
                <a16:creationId xmlns:a16="http://schemas.microsoft.com/office/drawing/2014/main" id="{5C304628-F9A7-474A-B397-147576574FEE}"/>
              </a:ext>
            </a:extLst>
          </xdr:cNvPr>
          <xdr:cNvSpPr/>
        </xdr:nvSpPr>
        <xdr:spPr>
          <a:xfrm>
            <a:off x="10067925" y="1689792"/>
            <a:ext cx="1943100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General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8966</xdr:colOff>
      <xdr:row>1</xdr:row>
      <xdr:rowOff>12888</xdr:rowOff>
    </xdr:from>
    <xdr:to>
      <xdr:col>8</xdr:col>
      <xdr:colOff>2209801</xdr:colOff>
      <xdr:row>7</xdr:row>
      <xdr:rowOff>333376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32A8F2D1-7C03-46A1-9F61-938AF4D72B6D}"/>
            </a:ext>
          </a:extLst>
        </xdr:cNvPr>
        <xdr:cNvGrpSpPr/>
      </xdr:nvGrpSpPr>
      <xdr:grpSpPr>
        <a:xfrm>
          <a:off x="10715066" y="203388"/>
          <a:ext cx="2934260" cy="2111188"/>
          <a:chOff x="10715065" y="212912"/>
          <a:chExt cx="3372409" cy="2233557"/>
        </a:xfrm>
      </xdr:grpSpPr>
      <xdr:sp macro="[0]!clearAll" textlink="">
        <xdr:nvSpPr>
          <xdr:cNvPr id="2" name="Rectangle: Beveled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SpPr/>
        </xdr:nvSpPr>
        <xdr:spPr>
          <a:xfrm>
            <a:off x="10715065" y="212912"/>
            <a:ext cx="3372409" cy="368113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 All</a:t>
            </a:r>
          </a:p>
        </xdr:txBody>
      </xdr:sp>
      <xdr:sp macro="[0]!clearOption4" textlink="">
        <xdr:nvSpPr>
          <xdr:cNvPr id="6" name="Rectangle: Beveled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10715066" y="170419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4</a:t>
            </a:r>
            <a:endParaRPr lang="en-US" sz="1400" b="1"/>
          </a:p>
        </xdr:txBody>
      </xdr:sp>
      <xdr:sp macro="[0]!clearOption1" textlink="">
        <xdr:nvSpPr>
          <xdr:cNvPr id="3" name="Rectangle: Beveled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0715066" y="59475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1</a:t>
            </a:r>
            <a:endParaRPr lang="en-US" sz="1400" b="1"/>
          </a:p>
        </xdr:txBody>
      </xdr:sp>
      <xdr:sp macro="[0]!clearOption2" textlink="">
        <xdr:nvSpPr>
          <xdr:cNvPr id="4" name="Rectangle: Beveled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10715066" y="966731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2</a:t>
            </a:r>
            <a:endParaRPr lang="en-US" sz="1400" b="1"/>
          </a:p>
        </xdr:txBody>
      </xdr:sp>
      <xdr:sp macro="[0]!clearOption3" textlink="">
        <xdr:nvSpPr>
          <xdr:cNvPr id="5" name="Rectangle: Beveled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10715066" y="1341232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3</a:t>
            </a:r>
            <a:endParaRPr lang="en-US" sz="1400" b="1"/>
          </a:p>
        </xdr:txBody>
      </xdr:sp>
      <xdr:sp macro="[0]!clearOption5" textlink="">
        <xdr:nvSpPr>
          <xdr:cNvPr id="7" name="Rectangle: Bevele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0715066" y="2080708"/>
            <a:ext cx="168144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Clear</a:t>
            </a:r>
            <a:r>
              <a:rPr lang="en-US" sz="1400" b="1" baseline="0"/>
              <a:t> Option 5</a:t>
            </a:r>
            <a:endParaRPr lang="en-US" sz="1400" b="1"/>
          </a:p>
        </xdr:txBody>
      </xdr:sp>
      <xdr:sp macro="[0]!populate10" textlink="">
        <xdr:nvSpPr>
          <xdr:cNvPr id="8" name="Rectangle: Bevele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2404912" y="586908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</a:t>
            </a:r>
            <a:r>
              <a:rPr lang="en-US" sz="1400" b="1" baseline="0"/>
              <a:t> #10</a:t>
            </a:r>
            <a:endParaRPr lang="en-US" sz="1400" b="1"/>
          </a:p>
        </xdr:txBody>
      </xdr:sp>
      <xdr:sp macro="[0]!populate6x95" textlink="">
        <xdr:nvSpPr>
          <xdr:cNvPr id="9" name="Rectangle: Beveled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12404912" y="958887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6 x 9.5</a:t>
            </a:r>
          </a:p>
        </xdr:txBody>
      </xdr:sp>
      <xdr:sp macro="[0]!populateA7" textlink="">
        <xdr:nvSpPr>
          <xdr:cNvPr id="10" name="Rectangle: Beveled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12404912" y="1337870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A7</a:t>
            </a:r>
          </a:p>
        </xdr:txBody>
      </xdr:sp>
      <xdr:sp macro="[0]!populatePostcards" textlink="">
        <xdr:nvSpPr>
          <xdr:cNvPr id="11" name="Rectangle: Beveled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12404912" y="1715733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PC</a:t>
            </a:r>
          </a:p>
        </xdr:txBody>
      </xdr:sp>
      <xdr:sp macro="[0]!populateDIR" textlink="">
        <xdr:nvSpPr>
          <xdr:cNvPr id="12" name="Rectangle: Beveled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12404912" y="2080709"/>
            <a:ext cx="1680322" cy="365760"/>
          </a:xfrm>
          <a:prstGeom prst="bevel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/>
              <a:t>Populate DIR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FiveMaplesSales\PRICES\Pricing%20working%20files\Prices%202.0%20June%202018%20working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P-Lettershop"/>
      <sheetName val="Proposal charts"/>
      <sheetName val="Postage"/>
      <sheetName val="DonorSearch"/>
      <sheetName val="Dartmouth"/>
      <sheetName val="Other"/>
      <sheetName val="Envl"/>
      <sheetName val="Printing 2"/>
      <sheetName val="House Papers"/>
      <sheetName val="Print Times"/>
      <sheetName val="Client Svcs"/>
      <sheetName val="FOR worksheet"/>
      <sheetName val="CAN Worksheet"/>
      <sheetName val="Trucking Costs 2015"/>
      <sheetName val="MM Margi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id="18" name="Table1519" displayName="Table1519" ref="D2:E7" totalsRowShown="0" headerRowDxfId="398" headerRowBorderDxfId="397">
  <autoFilter ref="D2:E7"/>
  <tableColumns count="2">
    <tableColumn id="1" name="Date" dataDxfId="396"/>
    <tableColumn id="2" name="Details" dataDxfId="39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19" name="Table19" displayName="Table19" ref="G1:G28" totalsRowShown="0" headerRowDxfId="394" dataDxfId="393">
  <autoFilter ref="G1:G28"/>
  <tableColumns count="1">
    <tableColumn id="1" name="Revision Suggestions" dataDxfId="392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21" name="dpPricing" displayName="dpPricing" ref="A10:C49" totalsRowShown="0" headerRowDxfId="391" dataDxfId="390">
  <autoFilter ref="A10:C49"/>
  <tableColumns count="3">
    <tableColumn id="1" name="Mail Shop Service Code" dataDxfId="389"/>
    <tableColumn id="2" name="Description" dataDxfId="388"/>
    <tableColumn id="3" name="Charge" dataDxfId="387" dataCellStyle="Currenc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22" name="dpPiecePricing" displayName="dpPiecePricing" ref="A52:M68" totalsRowShown="0" headerRowDxfId="386" dataDxfId="385" headerRowCellStyle="Currency" dataCellStyle="Currency">
  <autoFilter ref="A52:M68"/>
  <tableColumns count="13">
    <tableColumn id="1" name="Mail Shop Service Code" dataDxfId="384"/>
    <tableColumn id="2" name="Description" dataDxfId="383"/>
    <tableColumn id="13" name="Cut Over" dataDxfId="382" dataCellStyle="Comma"/>
    <tableColumn id="3" name="≥ 1" dataDxfId="381" dataCellStyle="Currency"/>
    <tableColumn id="4" name="≥ 10000" dataDxfId="380" dataCellStyle="Currency"/>
    <tableColumn id="5" name="≥ 20000" dataDxfId="379" dataCellStyle="Currency"/>
    <tableColumn id="6" name="≥ 25000" dataDxfId="378" dataCellStyle="Currency"/>
    <tableColumn id="7" name="≥ 30000" dataDxfId="377" dataCellStyle="Currency"/>
    <tableColumn id="8" name="≥ 50000" dataDxfId="376" dataCellStyle="Currency"/>
    <tableColumn id="9" name="≥ 75000" dataDxfId="375" dataCellStyle="Currency"/>
    <tableColumn id="10" name="≥ 100000" dataDxfId="374" dataCellStyle="Currency"/>
    <tableColumn id="11" name="≥ 150000" dataDxfId="373" dataCellStyle="Currency"/>
    <tableColumn id="12" name="Discount" dataDxfId="372" dataCellStyle="Currency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24" name="lettershopPricing" displayName="lettershopPricing" ref="A71:C76" totalsRowShown="0" headerRowDxfId="371" dataDxfId="369" headerRowBorderDxfId="370" tableBorderDxfId="368">
  <autoFilter ref="A71:C76"/>
  <tableColumns count="3">
    <tableColumn id="1" name="Mail Shop Service Code" dataDxfId="367"/>
    <tableColumn id="2" name="Description" dataDxfId="366"/>
    <tableColumn id="3" name="Charge" dataDxfId="365" dataCellStyle="Currency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6" name="lettershopAddPricing" displayName="lettershopAddPricing" ref="A79:O107" totalsRowShown="0" headerRowDxfId="364" dataDxfId="363" tableBorderDxfId="362" headerRowCellStyle="Currency" dataCellStyle="Currency">
  <autoFilter ref="A79:O107"/>
  <tableColumns count="15">
    <tableColumn id="1" name="Mail Shop Service Code" dataDxfId="361"/>
    <tableColumn id="2" name="Description" dataDxfId="360"/>
    <tableColumn id="3" name="Setup" dataDxfId="359" dataCellStyle="Currency"/>
    <tableColumn id="4" name="≥ 1" dataDxfId="358" dataCellStyle="Currency"/>
    <tableColumn id="5" name="≥ 5,000" dataDxfId="357" dataCellStyle="Currency">
      <calculatedColumnFormula>ROUND($D80*(1-INDEX(Table23[#All],MATCH($O80,Table23[[#All],[Discount Level]],0),MATCH(lettershopAddPricing[[#Headers],[≥ 5,000]],lettershopAddPricing[[#Headers],[≥ 1]:[≥ 150,000]],0))),2)</calculatedColumnFormula>
    </tableColumn>
    <tableColumn id="6" name="≥ 10,000" dataDxfId="356" dataCellStyle="Currency">
      <calculatedColumnFormula>ROUND($D80*(1-INDEX(Table23[#All],MATCH($O80,Table23[[#All],[Discount Level]],0),MATCH(lettershopAddPricing[[#Headers],[≥ 10,000]],lettershopAddPricing[[#Headers],[≥ 1]:[≥ 150,000]],0))),2)</calculatedColumnFormula>
    </tableColumn>
    <tableColumn id="7" name="≥ 15,000" dataDxfId="355" dataCellStyle="Currency">
      <calculatedColumnFormula>ROUND($D80*(1-INDEX(Table23[#All],MATCH($O80,Table23[[#All],[Discount Level]],0),MATCH(lettershopAddPricing[[#Headers],[≥ 15,000]],lettershopAddPricing[[#Headers],[≥ 1]:[≥ 150,000]],0))),2)</calculatedColumnFormula>
    </tableColumn>
    <tableColumn id="8" name="≥ 20,000" dataDxfId="354" dataCellStyle="Currency">
      <calculatedColumnFormula>ROUND($D80*(1-INDEX(Table23[#All],MATCH($O80,Table23[[#All],[Discount Level]],0),MATCH(lettershopAddPricing[[#Headers],[≥ 20,000]],lettershopAddPricing[[#Headers],[≥ 1]:[≥ 150,000]],0))),2)</calculatedColumnFormula>
    </tableColumn>
    <tableColumn id="9" name="≥ 25,000" dataDxfId="353" dataCellStyle="Currency">
      <calculatedColumnFormula>ROUND($D80*(1-INDEX(Table23[#All],MATCH($O80,Table23[[#All],[Discount Level]],0),MATCH(lettershopAddPricing[[#Headers],[≥ 25,000]],lettershopAddPricing[[#Headers],[≥ 1]:[≥ 150,000]],0))),2)</calculatedColumnFormula>
    </tableColumn>
    <tableColumn id="10" name="≥ 35,000" dataDxfId="352" dataCellStyle="Currency">
      <calculatedColumnFormula>ROUND($D80*(1-INDEX(Table23[#All],MATCH($O80,Table23[[#All],[Discount Level]],0),MATCH(lettershopAddPricing[[#Headers],[≥ 35,000]],lettershopAddPricing[[#Headers],[≥ 1]:[≥ 150,000]],0))),2)</calculatedColumnFormula>
    </tableColumn>
    <tableColumn id="11" name="≥ 50,000" dataDxfId="351" dataCellStyle="Currency">
      <calculatedColumnFormula>ROUND($D80*(1-INDEX(Table23[#All],MATCH($O80,Table23[[#All],[Discount Level]],0),MATCH(lettershopAddPricing[[#Headers],[≥ 50,000]],lettershopAddPricing[[#Headers],[≥ 1]:[≥ 150,000]],0))),2)</calculatedColumnFormula>
    </tableColumn>
    <tableColumn id="12" name="≥ 75,000" dataDxfId="350" dataCellStyle="Currency">
      <calculatedColumnFormula>ROUND($D80*(1-INDEX(Table23[#All],MATCH($O80,Table23[[#All],[Discount Level]],0),MATCH(lettershopAddPricing[[#Headers],[≥ 75,000]],lettershopAddPricing[[#Headers],[≥ 1]:[≥ 150,000]],0))),2)</calculatedColumnFormula>
    </tableColumn>
    <tableColumn id="13" name="≥ 100,000" dataDxfId="349" dataCellStyle="Currency">
      <calculatedColumnFormula>ROUND($D80*(1-INDEX(Table23[#All],MATCH($O80,Table23[[#All],[Discount Level]],0),MATCH(lettershopAddPricing[[#Headers],[≥ 100,000]],lettershopAddPricing[[#Headers],[≥ 1]:[≥ 150,000]],0))),2)</calculatedColumnFormula>
    </tableColumn>
    <tableColumn id="14" name="≥ 150,000" dataDxfId="348" dataCellStyle="Currency">
      <calculatedColumnFormula>ROUND($D80*(1-INDEX(Table23[#All],MATCH($O80,Table23[[#All],[Discount Level]],0),MATCH(lettershopAddPricing[[#Headers],[≥ 150,000]],lettershopAddPricing[[#Headers],[≥ 1]:[≥ 150,000]],0))),2)</calculatedColumnFormula>
    </tableColumn>
    <tableColumn id="15" name="Discount" dataDxfId="347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7" name="lettershopBuskroPricing" displayName="lettershopBuskroPricing" ref="A110:O123" totalsRowShown="0" headerRowDxfId="346" dataDxfId="344" headerRowBorderDxfId="345" tableBorderDxfId="343" headerRowCellStyle="Currency">
  <autoFilter ref="A110:O123"/>
  <tableColumns count="15">
    <tableColumn id="1" name="Mail Shop Service Code" dataDxfId="342"/>
    <tableColumn id="2" name="Description" dataDxfId="341"/>
    <tableColumn id="3" name="Setup" dataDxfId="340" dataCellStyle="Currency"/>
    <tableColumn id="4" name="≥ 1" dataDxfId="339" dataCellStyle="Currency"/>
    <tableColumn id="5" name="≥ 5,000" dataDxfId="338" dataCellStyle="Currency">
      <calculatedColumnFormula>ROUND($D111*(1-INDEX(Table23[#All],MATCH($O111,Table23[[#All],[Discount Level]],0),MATCH(lettershopBuskroPricing[[#Headers],[≥ 5,000]],lettershopBuskroPricing[[#Headers],[≥ 1]:[≥ 150,000]],0))),2)</calculatedColumnFormula>
    </tableColumn>
    <tableColumn id="6" name="≥ 10,000" dataDxfId="337" dataCellStyle="Currency">
      <calculatedColumnFormula>ROUND($D111*(1-INDEX(Table23[#All],MATCH($O111,Table23[[#All],[Discount Level]],0),MATCH(lettershopBuskroPricing[[#Headers],[≥ 10,000]],lettershopBuskroPricing[[#Headers],[≥ 1]:[≥ 150,000]],0))),2)</calculatedColumnFormula>
    </tableColumn>
    <tableColumn id="7" name="≥ 15,000" dataDxfId="336" dataCellStyle="Currency">
      <calculatedColumnFormula>ROUND($D111*(1-INDEX(Table23[#All],MATCH($O111,Table23[[#All],[Discount Level]],0),MATCH(lettershopBuskroPricing[[#Headers],[≥ 15,000]],lettershopBuskroPricing[[#Headers],[≥ 1]:[≥ 150,000]],0))),2)</calculatedColumnFormula>
    </tableColumn>
    <tableColumn id="8" name="≥ 20,000" dataDxfId="335" dataCellStyle="Currency">
      <calculatedColumnFormula>ROUND($D111*(1-INDEX(Table23[#All],MATCH($O111,Table23[[#All],[Discount Level]],0),MATCH(lettershopBuskroPricing[[#Headers],[≥ 20,000]],lettershopBuskroPricing[[#Headers],[≥ 1]:[≥ 150,000]],0))),2)</calculatedColumnFormula>
    </tableColumn>
    <tableColumn id="9" name="≥ 25,000" dataDxfId="334" dataCellStyle="Currency">
      <calculatedColumnFormula>ROUND($D111*(1-INDEX(Table23[#All],MATCH($O111,Table23[[#All],[Discount Level]],0),MATCH(lettershopBuskroPricing[[#Headers],[≥ 25,000]],lettershopBuskroPricing[[#Headers],[≥ 1]:[≥ 150,000]],0))),2)</calculatedColumnFormula>
    </tableColumn>
    <tableColumn id="10" name="≥ 35,000" dataDxfId="333" dataCellStyle="Currency">
      <calculatedColumnFormula>ROUND($D111*(1-INDEX(Table23[#All],MATCH($O111,Table23[[#All],[Discount Level]],0),MATCH(lettershopBuskroPricing[[#Headers],[≥ 35,000]],lettershopBuskroPricing[[#Headers],[≥ 1]:[≥ 150,000]],0))),2)</calculatedColumnFormula>
    </tableColumn>
    <tableColumn id="11" name="≥ 50,000" dataDxfId="332" dataCellStyle="Currency">
      <calculatedColumnFormula>ROUND($D111*(1-INDEX(Table23[#All],MATCH($O111,Table23[[#All],[Discount Level]],0),MATCH(lettershopBuskroPricing[[#Headers],[≥ 50,000]],lettershopBuskroPricing[[#Headers],[≥ 1]:[≥ 150,000]],0))),2)</calculatedColumnFormula>
    </tableColumn>
    <tableColumn id="12" name="≥ 75,000" dataDxfId="331" dataCellStyle="Currency">
      <calculatedColumnFormula>ROUND($D111*(1-INDEX(Table23[#All],MATCH($O111,Table23[[#All],[Discount Level]],0),MATCH(lettershopBuskroPricing[[#Headers],[≥ 75,000]],lettershopBuskroPricing[[#Headers],[≥ 1]:[≥ 150,000]],0))),2)</calculatedColumnFormula>
    </tableColumn>
    <tableColumn id="13" name="≥ 100,000" dataDxfId="330" dataCellStyle="Currency">
      <calculatedColumnFormula>ROUND($D111*(1-INDEX(Table23[#All],MATCH($O111,Table23[[#All],[Discount Level]],0),MATCH(lettershopBuskroPricing[[#Headers],[≥ 100,000]],lettershopBuskroPricing[[#Headers],[≥ 1]:[≥ 150,000]],0))),2)</calculatedColumnFormula>
    </tableColumn>
    <tableColumn id="14" name="≥ 150,000" dataDxfId="329" dataCellStyle="Currency">
      <calculatedColumnFormula>ROUND($D111*(1-INDEX(Table23[#All],MATCH($O111,Table23[[#All],[Discount Level]],0),MATCH(lettershopBuskroPricing[[#Headers],[≥ 150,000]],lettershopBuskroPricing[[#Headers],[≥ 1]:[≥ 150,000]],0))),2)</calculatedColumnFormula>
    </tableColumn>
    <tableColumn id="15" name="Discount" dataDxfId="328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8" name="lettershopInsertFoldPricing" displayName="lettershopInsertFoldPricing" ref="A126:O153" totalsRowShown="0" headerRowDxfId="327" dataDxfId="325" headerRowBorderDxfId="326" headerRowCellStyle="Currency">
  <autoFilter ref="A126:O153"/>
  <tableColumns count="15">
    <tableColumn id="1" name="Mail Shop Service Code" dataDxfId="324"/>
    <tableColumn id="2" name="Description" dataDxfId="323"/>
    <tableColumn id="3" name="Setup" dataDxfId="322" dataCellStyle="Currency"/>
    <tableColumn id="4" name="≥ 1" dataDxfId="321" dataCellStyle="Currency"/>
    <tableColumn id="5" name="≥ 5,000" dataDxfId="320" dataCellStyle="Currency">
      <calculatedColumnFormula>ROUND($D127*(1-INDEX(Table23[#All],MATCH($O127,Table23[[#All],[Discount Level]],0),MATCH(lettershopInsertFoldPricing[[#Headers],[≥ 5,000]],lettershopInsertFoldPricing[[#Headers],[≥ 1]:[≥ 150,000]],0))),2)</calculatedColumnFormula>
    </tableColumn>
    <tableColumn id="6" name="≥ 10,000" dataDxfId="319" dataCellStyle="Currency">
      <calculatedColumnFormula>ROUND($D127*(1-INDEX(Table23[#All],MATCH($O127,Table23[[#All],[Discount Level]],0),MATCH(lettershopInsertFoldPricing[[#Headers],[≥ 10,000]],lettershopInsertFoldPricing[[#Headers],[≥ 1]:[≥ 150,000]],0))),2)</calculatedColumnFormula>
    </tableColumn>
    <tableColumn id="7" name="≥ 15,000" dataDxfId="318" dataCellStyle="Currency">
      <calculatedColumnFormula>ROUND($D127*(1-INDEX(Table23[#All],MATCH($O127,Table23[[#All],[Discount Level]],0),MATCH(lettershopInsertFoldPricing[[#Headers],[≥ 15,000]],lettershopInsertFoldPricing[[#Headers],[≥ 1]:[≥ 150,000]],0))),2)</calculatedColumnFormula>
    </tableColumn>
    <tableColumn id="8" name="≥ 20,000" dataDxfId="317" dataCellStyle="Currency">
      <calculatedColumnFormula>ROUND($D127*(1-INDEX(Table23[#All],MATCH($O127,Table23[[#All],[Discount Level]],0),MATCH(lettershopInsertFoldPricing[[#Headers],[≥ 20,000]],lettershopInsertFoldPricing[[#Headers],[≥ 1]:[≥ 150,000]],0))),2)</calculatedColumnFormula>
    </tableColumn>
    <tableColumn id="9" name="≥ 25,000" dataDxfId="316" dataCellStyle="Currency">
      <calculatedColumnFormula>ROUND($D127*(1-INDEX(Table23[#All],MATCH($O127,Table23[[#All],[Discount Level]],0),MATCH(lettershopInsertFoldPricing[[#Headers],[≥ 25,000]],lettershopInsertFoldPricing[[#Headers],[≥ 1]:[≥ 150,000]],0))),2)</calculatedColumnFormula>
    </tableColumn>
    <tableColumn id="10" name="≥ 35,000" dataDxfId="315" dataCellStyle="Currency">
      <calculatedColumnFormula>ROUND($D127*(1-INDEX(Table23[#All],MATCH($O127,Table23[[#All],[Discount Level]],0),MATCH(lettershopInsertFoldPricing[[#Headers],[≥ 35,000]],lettershopInsertFoldPricing[[#Headers],[≥ 1]:[≥ 150,000]],0))),2)</calculatedColumnFormula>
    </tableColumn>
    <tableColumn id="11" name="≥ 50,000" dataDxfId="314" dataCellStyle="Currency">
      <calculatedColumnFormula>ROUND($D127*(1-INDEX(Table23[#All],MATCH($O127,Table23[[#All],[Discount Level]],0),MATCH(lettershopInsertFoldPricing[[#Headers],[≥ 50,000]],lettershopInsertFoldPricing[[#Headers],[≥ 1]:[≥ 150,000]],0))),2)</calculatedColumnFormula>
    </tableColumn>
    <tableColumn id="12" name="≥ 75,000" dataDxfId="313" dataCellStyle="Currency">
      <calculatedColumnFormula>ROUND($D127*(1-INDEX(Table23[#All],MATCH($O127,Table23[[#All],[Discount Level]],0),MATCH(lettershopInsertFoldPricing[[#Headers],[≥ 75,000]],lettershopInsertFoldPricing[[#Headers],[≥ 1]:[≥ 150,000]],0))),2)</calculatedColumnFormula>
    </tableColumn>
    <tableColumn id="13" name="≥ 100,000" dataDxfId="312" dataCellStyle="Currency">
      <calculatedColumnFormula>ROUND($D127*(1-INDEX(Table23[#All],MATCH($O127,Table23[[#All],[Discount Level]],0),MATCH(lettershopInsertFoldPricing[[#Headers],[≥ 100,000]],lettershopInsertFoldPricing[[#Headers],[≥ 1]:[≥ 150,000]],0))),2)</calculatedColumnFormula>
    </tableColumn>
    <tableColumn id="14" name="≥ 150,000" dataDxfId="311" dataCellStyle="Currency">
      <calculatedColumnFormula>ROUND($D127*(1-INDEX(Table23[#All],MATCH($O127,Table23[[#All],[Discount Level]],0),MATCH(lettershopInsertFoldPricing[[#Headers],[≥ 150,000]],lettershopInsertFoldPricing[[#Headers],[≥ 1]:[≥ 150,000]],0))),2)</calculatedColumnFormula>
    </tableColumn>
    <tableColumn id="15" name="Discount" dataDxfId="310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9" name="Table29" displayName="Table29" ref="A162:O168" totalsRowShown="0" headerRowDxfId="309" dataDxfId="307" headerRowBorderDxfId="308" tableBorderDxfId="306" headerRowCellStyle="Currency">
  <autoFilter ref="A162:O168"/>
  <tableColumns count="15">
    <tableColumn id="1" name="Mail Shop Service Code" dataDxfId="305"/>
    <tableColumn id="2" name="Description" dataDxfId="304"/>
    <tableColumn id="3" name="Set Up" dataDxfId="303" dataCellStyle="Currency"/>
    <tableColumn id="4" name="≥ 1" dataDxfId="302" dataCellStyle="Currency"/>
    <tableColumn id="5" name="≥ 5,000" dataDxfId="301" dataCellStyle="Currency">
      <calculatedColumnFormula>ROUND($D163*(1-INDEX(Table23[#All],MATCH($O163,Table23[[#All],[Discount Level]],0),MATCH(Table29[[#Headers],[≥ 5,000]],Table29[[#Headers],[≥ 1]:[≥ 150,000]],0))),2)</calculatedColumnFormula>
    </tableColumn>
    <tableColumn id="6" name="≥ 10,000" dataDxfId="300" dataCellStyle="Currency">
      <calculatedColumnFormula>ROUND($D163*(1-INDEX(Table23[#All],MATCH($O163,Table23[[#All],[Discount Level]],0),MATCH(Table29[[#Headers],[≥ 10,000]],Table29[[#Headers],[≥ 1]:[≥ 150,000]],0))),2)</calculatedColumnFormula>
    </tableColumn>
    <tableColumn id="7" name="≥ 15,000" dataDxfId="299" dataCellStyle="Currency">
      <calculatedColumnFormula>ROUND($D163*(1-INDEX(Table23[#All],MATCH($O163,Table23[[#All],[Discount Level]],0),MATCH(Table29[[#Headers],[≥ 15,000]],Table29[[#Headers],[≥ 1]:[≥ 150,000]],0))),2)</calculatedColumnFormula>
    </tableColumn>
    <tableColumn id="8" name="≥ 20,000" dataDxfId="298" dataCellStyle="Currency">
      <calculatedColumnFormula>ROUND($D163*(1-INDEX(Table23[#All],MATCH($O163,Table23[[#All],[Discount Level]],0),MATCH(Table29[[#Headers],[≥ 20,000]],Table29[[#Headers],[≥ 1]:[≥ 150,000]],0))),2)</calculatedColumnFormula>
    </tableColumn>
    <tableColumn id="9" name="≥ 25,000" dataDxfId="297" dataCellStyle="Currency">
      <calculatedColumnFormula>ROUND($D163*(1-INDEX(Table23[#All],MATCH($O163,Table23[[#All],[Discount Level]],0),MATCH(Table29[[#Headers],[≥ 25,000]],Table29[[#Headers],[≥ 1]:[≥ 150,000]],0))),2)</calculatedColumnFormula>
    </tableColumn>
    <tableColumn id="10" name="≥ 35,000" dataDxfId="296" dataCellStyle="Currency">
      <calculatedColumnFormula>ROUND($D163*(1-INDEX(Table23[#All],MATCH($O163,Table23[[#All],[Discount Level]],0),MATCH(Table29[[#Headers],[≥ 35,000]],Table29[[#Headers],[≥ 1]:[≥ 150,000]],0))),2)</calculatedColumnFormula>
    </tableColumn>
    <tableColumn id="11" name="≥ 50,000" dataDxfId="295" dataCellStyle="Currency">
      <calculatedColumnFormula>ROUND($D163*(1-INDEX(Table23[#All],MATCH($O163,Table23[[#All],[Discount Level]],0),MATCH(Table29[[#Headers],[≥ 50,000]],Table29[[#Headers],[≥ 1]:[≥ 150,000]],0))),2)</calculatedColumnFormula>
    </tableColumn>
    <tableColumn id="12" name="≥ 75,000" dataDxfId="294" dataCellStyle="Currency">
      <calculatedColumnFormula>ROUND($D163*(1-INDEX(Table23[#All],MATCH($O163,Table23[[#All],[Discount Level]],0),MATCH(Table29[[#Headers],[≥ 75,000]],Table29[[#Headers],[≥ 1]:[≥ 150,000]],0))),2)</calculatedColumnFormula>
    </tableColumn>
    <tableColumn id="13" name="≥ 100,000" dataDxfId="293" dataCellStyle="Currency">
      <calculatedColumnFormula>ROUND($D163*(1-INDEX(Table23[#All],MATCH($O163,Table23[[#All],[Discount Level]],0),MATCH(Table29[[#Headers],[≥ 100,000]],Table29[[#Headers],[≥ 1]:[≥ 150,000]],0))),2)</calculatedColumnFormula>
    </tableColumn>
    <tableColumn id="14" name="≥ 150,000" dataDxfId="292" dataCellStyle="Currency">
      <calculatedColumnFormula>ROUND($D163*(1-INDEX(Table23[#All],MATCH($O163,Table23[[#All],[Discount Level]],0),MATCH(Table29[[#Headers],[≥ 150,000]],Table29[[#Headers],[≥ 1]:[≥ 150,000]],0))),2)</calculatedColumnFormula>
    </tableColumn>
    <tableColumn id="15" name="Discount" dataDxfId="291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0" name="Table30" displayName="Table30" ref="A171:C182" totalsRowShown="0" headerRowDxfId="290" dataDxfId="288" headerRowBorderDxfId="289" tableBorderDxfId="287">
  <autoFilter ref="A171:C182"/>
  <tableColumns count="3">
    <tableColumn id="1" name="Mail Shop Service Code" dataDxfId="286"/>
    <tableColumn id="2" name="Description" dataDxfId="285"/>
    <tableColumn id="3" name="Charge" dataDxfId="284" dataCellStyle="Currency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1" name="Table31" displayName="Table31" ref="A185:C229" totalsRowShown="0" headerRowDxfId="283" dataDxfId="281" headerRowBorderDxfId="282" tableBorderDxfId="280">
  <autoFilter ref="A185:C229"/>
  <tableColumns count="3">
    <tableColumn id="1" name="Mail Shop Service Code" dataDxfId="279"/>
    <tableColumn id="2" name="Description" dataDxfId="278"/>
    <tableColumn id="3" name="Charge" dataDxfId="277" dataCellStyle="Currency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45" name="Table45" displayName="Table45" ref="B233:C238" totalsRowShown="0" headerRowDxfId="276" dataDxfId="275">
  <autoFilter ref="B233:C238"/>
  <tableColumns count="2">
    <tableColumn id="1" name="Description" dataDxfId="274"/>
    <tableColumn id="2" name="Charge" dataDxfId="273" dataCellStyle="Currency 2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1" name="Table51" displayName="Table51" ref="B240:C243" totalsRowShown="0" headerRowDxfId="272" dataDxfId="271">
  <autoFilter ref="B240:C243"/>
  <tableColumns count="2">
    <tableColumn id="1" name="Delivery/Pick up" dataDxfId="270"/>
    <tableColumn id="2" name="Charge" dataDxfId="269" dataCellStyle="Currency 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2" name="Table52" displayName="Table52" ref="B245:D249" totalsRowShown="0" headerRowDxfId="268" dataDxfId="267">
  <autoFilter ref="B245:D249"/>
  <tableColumns count="3">
    <tableColumn id="1" name="Deliveries with Mailrite Truck" dataDxfId="266"/>
    <tableColumn id="2" name="Cost" dataDxfId="265" dataCellStyle="Currency 2"/>
    <tableColumn id="3" name="Suggested Price" dataDxfId="264" dataCellStyle="Currency 2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55" name="Table55" displayName="Table55" ref="A252:F253" totalsRowShown="0" headerRowDxfId="263" dataDxfId="262" tableBorderDxfId="261" headerRowCellStyle="Normal 4" dataCellStyle="Currency 3">
  <autoFilter ref="A252:F253"/>
  <tableColumns count="6">
    <tableColumn id="1" name="Mail Shop Service Code" dataDxfId="260"/>
    <tableColumn id="2" name="Number of NDC/SCF's per job" dataDxfId="259" dataCellStyle="Normal 4"/>
    <tableColumn id="3" name="1" dataDxfId="258" dataCellStyle="Currency 3"/>
    <tableColumn id="4" name="2" dataDxfId="257" dataCellStyle="Currency 3"/>
    <tableColumn id="5" name="3" dataDxfId="256" dataCellStyle="Currency 3"/>
    <tableColumn id="6" name="4" dataDxfId="255" dataCellStyle="Currency 3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38" name="notDesignCS" displayName="notDesignCS" ref="A1:B10" totalsRowShown="0" headerRowDxfId="244" dataDxfId="243">
  <autoFilter ref="A1:B10"/>
  <tableColumns count="2">
    <tableColumn id="1" name="Client Services" dataDxfId="242" dataCellStyle="Normal 2"/>
    <tableColumn id="2" name="Sales Price" dataDxfId="241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46" name="CopyDesign" displayName="CopyDesign" ref="A14:G47" totalsRowShown="0" headerRowDxfId="240" dataDxfId="239" headerRowCellStyle="Normal 2" dataCellStyle="Normal 2">
  <autoFilter ref="A14:G47"/>
  <tableColumns count="7">
    <tableColumn id="1" name="Copywriting and Design - Prices for Clients" dataDxfId="238" dataCellStyle="Normal 2"/>
    <tableColumn id="2" name="Copywrite" dataDxfId="237" dataCellStyle="Currency"/>
    <tableColumn id="3" name="Revise Client Draft" dataDxfId="236" dataCellStyle="Currency"/>
    <tableColumn id="4" name="Edit Client Draft" dataDxfId="235" dataCellStyle="Currency"/>
    <tableColumn id="5" name="Design" dataDxfId="234" dataCellStyle="Currency"/>
    <tableColumn id="6" name="Update Existing or Client Design" dataDxfId="233" dataCellStyle="Currency"/>
    <tableColumn id="7" name="Layout, Schedule &amp; Release" dataDxfId="232" dataCellStyle="Currency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7" name="HighEndCopyDesign" displayName="HighEndCopyDesign" ref="A54:G87" totalsRowShown="0" headerRowDxfId="231" dataDxfId="230" headerRowCellStyle="Currency 3" dataCellStyle="Currency 3">
  <autoFilter ref="A54:G87"/>
  <tableColumns count="7">
    <tableColumn id="1" name="High End Client Pricing (Navy SEALS)" dataDxfId="229" dataCellStyle="Normal 2"/>
    <tableColumn id="2" name="Copywrite" dataDxfId="228" dataCellStyle="Currency"/>
    <tableColumn id="3" name="Revise Client Draft" dataDxfId="227" dataCellStyle="Currency"/>
    <tableColumn id="4" name="Edit Client Draft" dataDxfId="226" dataCellStyle="Currency"/>
    <tableColumn id="5" name="Design" dataDxfId="225" dataCellStyle="Currency"/>
    <tableColumn id="6" name="Update Existing or Client Design" dataDxfId="224" dataCellStyle="Currency"/>
    <tableColumn id="7" name="Layout, Schedule &amp; Release" dataDxfId="223" dataCellStyle="Currency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48" name="Table48" displayName="Table48" ref="K54:N82" totalsRowShown="0" headerRowDxfId="222" headerRowCellStyle="Normal 2">
  <autoFilter ref="K54:N82"/>
  <tableColumns count="4">
    <tableColumn id="1" name="Price Paid to Copywriter for High End Work" dataDxfId="221" dataCellStyle="Normal 2"/>
    <tableColumn id="2" name="Copywrite"/>
    <tableColumn id="3" name="Revise Client Draft"/>
    <tableColumn id="4" name="Edit Client Draft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49" name="Table49" displayName="Table49" ref="K14:N42" totalsRowShown="0" headerRowDxfId="220" headerRowCellStyle="Normal 2">
  <autoFilter ref="K14:N42"/>
  <tableColumns count="4">
    <tableColumn id="1" name="Price Paid to Darin for Copywriting" dataDxfId="219" dataCellStyle="Normal 2"/>
    <tableColumn id="2" name="Copywrite"/>
    <tableColumn id="3" name="Revise Client Draft"/>
    <tableColumn id="4" name="Edit Client Draft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0" name="Table50" displayName="Table50" ref="P14:R50" totalsRowShown="0" headerRowDxfId="218" headerRowCellStyle="Normal 2">
  <autoFilter ref="P14:R50"/>
  <tableColumns count="3">
    <tableColumn id="1" name="Price Paid to Subcontractor for Design" dataDxfId="217" dataCellStyle="Normal 2"/>
    <tableColumn id="2" name="Design"/>
    <tableColumn id="3" name="Update Existing or Client Design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3" name="Table53" displayName="Table53" ref="A34:F71" totalsRowShown="0" headerRowDxfId="216">
  <autoFilter ref="A34:F71"/>
  <tableColumns count="6">
    <tableColumn id="1" name="Description" dataDxfId="215"/>
    <tableColumn id="2" name="Set Up QTY"/>
    <tableColumn id="3" name="Setup Price" dataDxfId="214" dataCellStyle="Currency">
      <calculatedColumnFormula>IF(Table53[[#This Row],[Set Up QTY]]="", 0, setupPrice($A$33,Table53[[#This Row],[Description]]))</calculatedColumnFormula>
    </tableColumn>
    <tableColumn id="4" name="Piece Qty" dataDxfId="213"/>
    <tableColumn id="5" name="Price Ea." dataDxfId="212"/>
    <tableColumn id="6" name="Total Price" dataDxfId="211" dataCellStyle="Currency">
      <calculatedColumnFormula>Table53[[#This Row],[Set Up QTY]]*Table53[[#This Row],[Setup Price]]+Table53[[#This Row],[Piece Qty]]*Table53[[#This Row],[Price Ea.]]</calculatedColumnFormula>
    </tableColumn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20" name="Table20" displayName="Table20" ref="A73:F88" totalsRowShown="0" headerRowDxfId="210">
  <autoFilter ref="A73:F88"/>
  <tableColumns count="6">
    <tableColumn id="1" name="Description" dataDxfId="209"/>
    <tableColumn id="2" name="Set Up QTY" dataDxfId="208"/>
    <tableColumn id="3" name="Setup Price" dataDxfId="207"/>
    <tableColumn id="4" name="Piece Qty"/>
    <tableColumn id="5" name="Price Ea." dataDxfId="206" dataCellStyle="Currency">
      <calculatedColumnFormula>IF(Table20[[#This Row],[Piece Qty]]="", 0, perPiecePrice($A$33,Table20[[#This Row],[Description]],Table20[[#This Row],[Piece Qty]]))</calculatedColumnFormula>
    </tableColumn>
    <tableColumn id="6" name="Total Price" dataDxfId="205">
      <calculatedColumnFormula>Table20[[#This Row],[Set Up QTY]]*Table20[[#This Row],[Setup Price]]+IF(Table20[[#This Row],[Price Ea.]]&gt;1,Table20[[#This Row],[Price Ea.]],Table20[[#This Row],[Piece Qty]]*Table20[[#This Row],[Price Ea.]])</calculatedColumnFormula>
    </tableColumn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54" name="Table54" displayName="Table54" ref="A91:F96" totalsRowShown="0" headerRowDxfId="204" headerRowBorderDxfId="203">
  <autoFilter ref="A91:F96"/>
  <tableColumns count="6">
    <tableColumn id="1" name="Description" dataDxfId="202"/>
    <tableColumn id="2" name="Set Up QTY"/>
    <tableColumn id="3" name="Setup Price" dataDxfId="201">
      <calculatedColumnFormula>IF(Table54[[#This Row],[Set Up QTY]]="", 0, setupPrice($A$90,Table54[[#This Row],[Description]]))</calculatedColumnFormula>
    </tableColumn>
    <tableColumn id="4" name="Piece Qty" dataDxfId="200"/>
    <tableColumn id="5" name="Price Ea." dataDxfId="199"/>
    <tableColumn id="6" name="Total Price" dataDxfId="198" dataCellStyle="Currency">
      <calculatedColumnFormula>Table54[[#This Row],[Set Up QTY]]*Table54[[#This Row],[Setup Price]]+IF(Table54[[#This Row],[Price Ea.]]&gt;1,Table54[[#This Row],[Price Ea.]],Table54[[#This Row],[Piece Qty]]*Table54[[#This Row],[Price Ea.]])</calculatedColumnFormula>
    </tableColumn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56" name="Table5457" displayName="Table5457" ref="A99:F127" totalsRowShown="0" headerRowDxfId="197" headerRowBorderDxfId="196">
  <autoFilter ref="A99:F127"/>
  <tableColumns count="6">
    <tableColumn id="1" name="Description" dataDxfId="195"/>
    <tableColumn id="2" name="Set Up QTY"/>
    <tableColumn id="3" name="Setup Price" dataDxfId="194" dataCellStyle="Currency">
      <calculatedColumnFormula>IF(Table5457[[#This Row],[Set Up QTY]]="", 0, setupPrice($A$98,Table5457[[#This Row],[Description]]))</calculatedColumnFormula>
    </tableColumn>
    <tableColumn id="4" name="Piece Qty"/>
    <tableColumn id="5" name="Price Ea." dataDxfId="193">
      <calculatedColumnFormula>IF(Table5457[[#This Row],[Piece Qty]]="", 0, perPiecePrice($A$98,Table5457[[#This Row],[Description]],Table5457[[#This Row],[Piece Qty]]))</calculatedColumnFormula>
    </tableColumn>
    <tableColumn id="6" name="Total Price" dataDxfId="192">
      <calculatedColumnFormula>Table5457[[#This Row],[Set Up QTY]]*Table5457[[#This Row],[Setup Price]]+Table5457[[#This Row],[Piece Qty]]*Table5457[[#This Row],[Price Ea.]]</calculatedColumnFormula>
    </tableColumn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57" name="Table57" displayName="Table57" ref="A130:F143" totalsRowShown="0" headerRowDxfId="191" headerRowBorderDxfId="190">
  <autoFilter ref="A130:F143"/>
  <tableColumns count="6">
    <tableColumn id="1" name="Description" dataDxfId="189"/>
    <tableColumn id="2" name="Set Up QTY"/>
    <tableColumn id="3" name="Setup Price" dataDxfId="188">
      <calculatedColumnFormula>IF(Table57[[#This Row],[Set Up QTY]]="", 0, setupPrice($A$129,Table57[[#This Row],[Description]]))</calculatedColumnFormula>
    </tableColumn>
    <tableColumn id="4" name="Piece Qty"/>
    <tableColumn id="5" name="Price Ea." dataDxfId="187" dataCellStyle="Currency">
      <calculatedColumnFormula>IF(Table57[[#This Row],[Piece Qty]]="", 0, perPiecePrice($A$129,Table57[[#This Row],[Description]],Table57[[#This Row],[Piece Qty]]))</calculatedColumnFormula>
    </tableColumn>
    <tableColumn id="6" name="Total Price" dataDxfId="186" dataCellStyle="Currency">
      <calculatedColumnFormula>Table57[[#This Row],[Set Up QTY]]*Table57[[#This Row],[Setup Price]]+Table57[[#This Row],[Piece Qty]]*Table57[[#This Row],[Price Ea.]]</calculatedColumnFormula>
    </tableColumn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58" name="Table58" displayName="Table58" ref="A146:F173" totalsRowShown="0" headerRowDxfId="185" headerRowBorderDxfId="184">
  <autoFilter ref="A146:F173"/>
  <tableColumns count="6">
    <tableColumn id="1" name="Description" dataDxfId="183"/>
    <tableColumn id="2" name="Set Up QTY"/>
    <tableColumn id="3" name="Setup Price" dataDxfId="182">
      <calculatedColumnFormula>IF(Table58[[#This Row],[Set Up QTY]]="", 0, setupPrice($A$145,Table58[[#This Row],[Description]]))</calculatedColumnFormula>
    </tableColumn>
    <tableColumn id="4" name="Piece Qty"/>
    <tableColumn id="5" name="Price Ea." dataDxfId="181">
      <calculatedColumnFormula>IF(Table58[[#This Row],[Piece Qty]]="", 0, perPiecePrice($A$145,Table58[[#This Row],[Description]],Table58[[#This Row],[Piece Qty]]))</calculatedColumnFormula>
    </tableColumn>
    <tableColumn id="6" name="Total Price" dataDxfId="180" dataCellStyle="Currency">
      <calculatedColumnFormula>Table58[[#This Row],[Set Up QTY]]*Table58[[#This Row],[Setup Price]]+Table58[[#This Row],[Piece Qty]]*Table58[[#This Row],[Price Ea.]]</calculatedColumnFormula>
    </tableColumn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3" name="Table23" displayName="Table23" ref="A1:K8" totalsRowShown="0" dataDxfId="179" dataCellStyle="Percent">
  <autoFilter ref="A1:K8"/>
  <tableColumns count="11">
    <tableColumn id="1" name="Discount Level"/>
    <tableColumn id="2" name="Break 1" dataDxfId="178" dataCellStyle="Percent"/>
    <tableColumn id="3" name="Break 2" dataDxfId="177" dataCellStyle="Percent"/>
    <tableColumn id="4" name="Break 3" dataDxfId="176" dataCellStyle="Percent"/>
    <tableColumn id="5" name="Break 4" dataDxfId="175" dataCellStyle="Percent"/>
    <tableColumn id="6" name="Break 5" dataDxfId="174" dataCellStyle="Percent"/>
    <tableColumn id="7" name="Break 6" dataDxfId="173" dataCellStyle="Percent"/>
    <tableColumn id="8" name="Break 7" dataDxfId="172" dataCellStyle="Percent"/>
    <tableColumn id="9" name="Break 8" dataDxfId="171" dataCellStyle="Percent"/>
    <tableColumn id="10" name="Break 9" dataDxfId="170" dataCellStyle="Percent"/>
    <tableColumn id="11" name="Break 10" dataDxfId="169" dataCellStyle="Percent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44" name="Table4345" displayName="Table4345" ref="H10:I12" totalsRowShown="0" headerRowDxfId="161" dataDxfId="160">
  <autoFilter ref="H10:I12"/>
  <tableColumns count="2">
    <tableColumn id="1" name="Color" dataDxfId="159"/>
    <tableColumn id="2" name="Explanation" dataDxfId="158"/>
  </tableColumns>
  <tableStyleInfo name="TableStyleLight15" showFirstColumn="0" showLastColumn="0" showRowStripes="1" showColumnStripes="0"/>
</table>
</file>

<file path=xl/tables/table30.xml><?xml version="1.0" encoding="utf-8"?>
<table xmlns="http://schemas.openxmlformats.org/spreadsheetml/2006/main" id="35" name="EnvType" displayName="EnvType" ref="F1:J28" totalsRowShown="0" headerRowDxfId="157" dataDxfId="156">
  <autoFilter ref="F1:J28"/>
  <tableColumns count="5">
    <tableColumn id="1" name="EnvType" dataDxfId="155"/>
    <tableColumn id="2" name="Cost" dataDxfId="154"/>
    <tableColumn id="6" name="Run Rate per side" dataDxfId="153"/>
    <tableColumn id="3" name="% of time" dataDxfId="152" dataCellStyle="Percent 3"/>
    <tableColumn id="8" name="flap folding rate" dataDxfId="151"/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id="36" name="EnvVar" displayName="EnvVar" ref="L1:M4" totalsRowShown="0" headerRowDxfId="150" dataDxfId="149">
  <autoFilter ref="L1:M4"/>
  <tableColumns count="2">
    <tableColumn id="1" name="EnvVar" dataDxfId="148"/>
    <tableColumn id="2" name="Price Adder" dataDxfId="147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id="37" name="EnvSource" displayName="EnvSource" ref="O1:P5" totalsRowShown="0" headerRowDxfId="146">
  <autoFilter ref="O1:P5"/>
  <tableColumns count="2">
    <tableColumn id="1" name="EnvSource" dataDxfId="145"/>
    <tableColumn id="2" name="Markup" dataDxfId="144"/>
  </tableColumns>
  <tableStyleInfo name="TableStyleMedium9" showFirstColumn="0" showLastColumn="0" showRowStripes="1" showColumnStripes="0"/>
</table>
</file>

<file path=xl/tables/table33.xml><?xml version="1.0" encoding="utf-8"?>
<table xmlns="http://schemas.openxmlformats.org/spreadsheetml/2006/main" id="17" name="EnvColor" displayName="EnvColor" ref="A1:D7" totalsRowShown="0" headerRowDxfId="143" dataDxfId="142" tableBorderDxfId="141" headerRowCellStyle="Normal 3">
  <autoFilter ref="A1:D7"/>
  <tableColumns count="4">
    <tableColumn id="1" name="Color" dataDxfId="140" dataCellStyle="Normal 3"/>
    <tableColumn id="2" name="Front" dataDxfId="139" dataCellStyle="Normal 3"/>
    <tableColumn id="4" name="Back" dataDxfId="138" dataCellStyle="Normal 3"/>
    <tableColumn id="3" name="Impression Cost" dataDxfId="137" dataCellStyle="Normal 3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25" name="no10env" displayName="no10env" ref="R1:V8" totalsRowShown="0">
  <autoFilter ref="R1:V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32" name="env6x9" displayName="env6x9" ref="X1:AB8" totalsRowShown="0">
  <autoFilter ref="X1:AB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33" name="A7env" displayName="A7env" ref="AD1:AH8" totalsRowShown="0">
  <autoFilter ref="AD1:AH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34" name="envs" displayName="envs" ref="AJ1:AN8" totalsRowShown="0">
  <autoFilter ref="AJ1:AN8"/>
  <tableColumns count="5">
    <tableColumn id="1" name="Option 1"/>
    <tableColumn id="2" name="Option 2"/>
    <tableColumn id="3" name="Option 3"/>
    <tableColumn id="4" name="Option 4"/>
    <tableColumn id="5" name="Option 5"/>
  </tableColumns>
  <tableStyleInfo name="TableStyleMedium9" showFirstColumn="0" showLastColumn="0" showRowStripes="1" showColumnStripes="0"/>
</table>
</file>

<file path=xl/tables/table38.xml><?xml version="1.0" encoding="utf-8"?>
<table xmlns="http://schemas.openxmlformats.org/spreadsheetml/2006/main" id="43" name="Table43" displayName="Table43" ref="H10:I13" totalsRowShown="0" headerRowDxfId="131" dataDxfId="130">
  <autoFilter ref="H10:I13"/>
  <tableColumns count="2">
    <tableColumn id="1" name="Color" dataDxfId="129"/>
    <tableColumn id="2" name="Explanation" dataDxfId="128"/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1" name="PrintVar" displayName="PrintVar" ref="A1:B4" totalsRowShown="0" headerRowDxfId="127" dataDxfId="126">
  <autoFilter ref="A1:B4"/>
  <sortState ref="A3:B16">
    <sortCondition ref="B2:B16"/>
  </sortState>
  <tableColumns count="2">
    <tableColumn id="1" name="VariableChoice" dataDxfId="125"/>
    <tableColumn id="2" name="PriceAdder" dataDxfId="124"/>
  </tableColumns>
  <tableStyleInfo name="TableStyleMedium9" showFirstColumn="0" showLastColumn="0" showRowStripes="1" showColumnStripes="0"/>
</table>
</file>

<file path=xl/tables/table40.xml><?xml version="1.0" encoding="utf-8"?>
<table xmlns="http://schemas.openxmlformats.org/spreadsheetml/2006/main" id="2" name="PrintColor" displayName="PrintColor" ref="D1:F7" totalsRowShown="0" headerRowDxfId="123" dataDxfId="122">
  <autoFilter ref="D1:F7"/>
  <tableColumns count="3">
    <tableColumn id="1" name="Front" dataDxfId="121"/>
    <tableColumn id="2" name="Back" dataDxfId="120"/>
    <tableColumn id="3" name="ClickCharge" dataDxfId="119" dataCellStyle="Currency"/>
  </tableColumns>
  <tableStyleInfo name="TableStyleMedium9" showFirstColumn="0" showLastColumn="0" showRowStripes="1" showColumnStripes="0"/>
</table>
</file>

<file path=xl/tables/table41.xml><?xml version="1.0" encoding="utf-8"?>
<table xmlns="http://schemas.openxmlformats.org/spreadsheetml/2006/main" id="3" name="PrintType" displayName="PrintType" ref="H1:K15" totalsRowShown="0" headerRowDxfId="118" dataDxfId="117">
  <autoFilter ref="H1:K15"/>
  <sortState ref="H3:K27">
    <sortCondition ref="H2:H27"/>
  </sortState>
  <tableColumns count="4">
    <tableColumn id="1" name="Type" dataDxfId="116"/>
    <tableColumn id="2" name="Factor" dataDxfId="115"/>
    <tableColumn id="3" name="VarLimit" dataDxfId="114" dataCellStyle="Comma"/>
    <tableColumn id="4" name="StaticLimit" dataDxfId="113" dataCellStyle="Comma"/>
  </tableColumns>
  <tableStyleInfo name="TableStyleMedium9" showFirstColumn="0" showLastColumn="0" showRowStripes="1" showColumnStripes="0"/>
</table>
</file>

<file path=xl/tables/table42.xml><?xml version="1.0" encoding="utf-8"?>
<table xmlns="http://schemas.openxmlformats.org/spreadsheetml/2006/main" id="4" name="PaperSource" displayName="PaperSource" ref="M1:M5" totalsRowShown="0" headerRowDxfId="112" dataDxfId="111">
  <autoFilter ref="M1:M5"/>
  <tableColumns count="1">
    <tableColumn id="1" name="PaperSource" dataDxfId="110"/>
  </tableColumns>
  <tableStyleInfo name="TableStyleMedium9" showFirstColumn="0" showLastColumn="0" showRowStripes="1" showColumnStripes="0"/>
</table>
</file>

<file path=xl/tables/table43.xml><?xml version="1.0" encoding="utf-8"?>
<table xmlns="http://schemas.openxmlformats.org/spreadsheetml/2006/main" id="5" name="PrintOutMarkup" displayName="PrintOutMarkup" ref="O1:O2" totalsRowShown="0" headerRowDxfId="109" dataDxfId="108">
  <autoFilter ref="O1:O2"/>
  <tableColumns count="1">
    <tableColumn id="1" name="PrintOutMarkup" dataDxfId="107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id="7" name="MultiUpCalc" displayName="MultiUpCalc" ref="Q1:S3" totalsRowShown="0" headerRowDxfId="106" dataDxfId="105">
  <autoFilter ref="Q1:S3"/>
  <tableColumns count="3">
    <tableColumn id="1" name="Size" dataDxfId="104"/>
    <tableColumn id="2" name="# Across" dataDxfId="103"/>
    <tableColumn id="3" name="Total Dimension" dataDxfId="102">
      <calculatedColumnFormula>R2*Q2</calculatedColumnFormula>
    </tableColumn>
  </tableColumns>
  <tableStyleInfo name="TableStyleMedium9" showFirstColumn="0" showLastColumn="0" showRowStripes="1" showColumnStripes="0"/>
</table>
</file>

<file path=xl/tables/table45.xml><?xml version="1.0" encoding="utf-8"?>
<table xmlns="http://schemas.openxmlformats.org/spreadsheetml/2006/main" id="8" name="ClickCosts" displayName="ClickCosts" ref="U1:W5" totalsRowShown="0" headerRowDxfId="101" dataDxfId="100">
  <autoFilter ref="U1:W5"/>
  <tableColumns count="3">
    <tableColumn id="1" name="Column1" dataDxfId="99"/>
    <tableColumn id="2" name="Front" dataDxfId="98"/>
    <tableColumn id="3" name="Back" dataDxfId="97"/>
  </tableColumns>
  <tableStyleInfo name="TableStyleMedium9" showFirstColumn="0" showLastColumn="0" showRowStripes="1" showColumnStripes="0"/>
</table>
</file>

<file path=xl/tables/table46.xml><?xml version="1.0" encoding="utf-8"?>
<table xmlns="http://schemas.openxmlformats.org/spreadsheetml/2006/main" id="9" name="AnnualClicks" displayName="AnnualClicks" ref="Y1:AA4" totalsRowShown="0" headerRowDxfId="96" dataDxfId="95">
  <autoFilter ref="Y1:AA4"/>
  <tableColumns count="3">
    <tableColumn id="1" name="Annual clicks" dataDxfId="94"/>
    <tableColumn id="2" name="Column1" dataDxfId="93"/>
    <tableColumn id="3" name="2000000" dataDxfId="92"/>
  </tableColumns>
  <tableStyleInfo name="TableStyleMedium9" showFirstColumn="0" showLastColumn="0" showRowStripes="1" showColumnStripes="0"/>
</table>
</file>

<file path=xl/tables/table47.xml><?xml version="1.0" encoding="utf-8"?>
<table xmlns="http://schemas.openxmlformats.org/spreadsheetml/2006/main" id="10" name="PrintTime" displayName="PrintTime" ref="AC1:AD6" totalsRowShown="0" headerRowDxfId="91" dataDxfId="90">
  <autoFilter ref="AC1:AD6"/>
  <tableColumns count="2">
    <tableColumn id="2" name="Column2" dataDxfId="89"/>
    <tableColumn id="3" name="Column3" dataDxfId="88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11" name="MultiUp" displayName="MultiUp" ref="AF1:AP77" totalsRowShown="0" headerRowDxfId="87" dataDxfId="86">
  <autoFilter ref="AF1:AP77"/>
  <tableColumns count="11">
    <tableColumn id="1" name="FinalSize" dataDxfId="85"/>
    <tableColumn id="2" name="8.5x11 Bulk" dataDxfId="84"/>
    <tableColumn id="3" name="8.5 x 11" dataDxfId="83"/>
    <tableColumn id="4" name="8.5x11w/3.5" dataDxfId="82"/>
    <tableColumn id="5" name="8.5x14" dataDxfId="81"/>
    <tableColumn id="6" name="8.5x14w/3.5" dataDxfId="80"/>
    <tableColumn id="7" name="11x17 Bulk" dataDxfId="79"/>
    <tableColumn id="8" name="11 x 17 " dataDxfId="78"/>
    <tableColumn id="9" name="12x18 Bulk" dataDxfId="77"/>
    <tableColumn id="10" name="12 x 18" dataDxfId="76"/>
    <tableColumn id="11" name="13 x 19" dataDxfId="75"/>
  </tableColumns>
  <tableStyleInfo name="TableStyleMedium9" showFirstColumn="0" showLastColumn="0" showRowStripes="1" showColumnStripes="0"/>
</table>
</file>

<file path=xl/tables/table49.xml><?xml version="1.0" encoding="utf-8"?>
<table xmlns="http://schemas.openxmlformats.org/spreadsheetml/2006/main" id="6" name="Number10" displayName="Number10" ref="AR1:AV13" totalsRowShown="0" headerRowDxfId="74" dataDxfId="73">
  <autoFilter ref="AR1:AV13"/>
  <tableColumns count="5">
    <tableColumn id="1" name="Option 1" dataDxfId="72"/>
    <tableColumn id="2" name="Option 2" dataDxfId="71"/>
    <tableColumn id="3" name="Option 3" dataDxfId="70"/>
    <tableColumn id="4" name="Option 4" dataDxfId="69"/>
    <tableColumn id="5" name="Option 5" dataDxfId="68"/>
  </tableColumns>
  <tableStyleInfo name="TableStyleMedium9" showFirstColumn="0" showLastColumn="0" showRowStripes="1" showColumnStripes="0"/>
</table>
</file>

<file path=xl/tables/table50.xml><?xml version="1.0" encoding="utf-8"?>
<table xmlns="http://schemas.openxmlformats.org/spreadsheetml/2006/main" id="13" name="env6x9.5" displayName="env6x9.5" ref="AX1:BB13" totalsRowShown="0" headerRowDxfId="67" dataDxfId="66">
  <autoFilter ref="AX1:BB13"/>
  <tableColumns count="5">
    <tableColumn id="1" name="Option 1" dataDxfId="65"/>
    <tableColumn id="2" name="Option 2" dataDxfId="64"/>
    <tableColumn id="3" name="Option 3" dataDxfId="63"/>
    <tableColumn id="4" name="Option 4" dataDxfId="62"/>
    <tableColumn id="5" name="Option 5" dataDxfId="61"/>
  </tableColumns>
  <tableStyleInfo name="TableStyleMedium9" showFirstColumn="0" showLastColumn="0" showRowStripes="1" showColumnStripes="0"/>
</table>
</file>

<file path=xl/tables/table51.xml><?xml version="1.0" encoding="utf-8"?>
<table xmlns="http://schemas.openxmlformats.org/spreadsheetml/2006/main" id="14" name="envA7" displayName="envA7" ref="BD1:BH13" totalsRowShown="0" headerRowDxfId="60" dataDxfId="59">
  <autoFilter ref="BD1:BH13"/>
  <tableColumns count="5">
    <tableColumn id="1" name="Option 1" dataDxfId="58"/>
    <tableColumn id="2" name="Option 2" dataDxfId="57"/>
    <tableColumn id="3" name="Option 3" dataDxfId="56"/>
    <tableColumn id="4" name="Option 4" dataDxfId="55"/>
    <tableColumn id="5" name="Option 5" dataDxfId="54"/>
  </tableColumns>
  <tableStyleInfo name="TableStyleMedium9" showFirstColumn="0" showLastColumn="0" showRowStripes="1" showColumnStripes="0"/>
</table>
</file>

<file path=xl/tables/table52.xml><?xml version="1.0" encoding="utf-8"?>
<table xmlns="http://schemas.openxmlformats.org/spreadsheetml/2006/main" id="15" name="postcards" displayName="postcards" ref="BJ1:BN13" totalsRowShown="0" headerRowDxfId="53" dataDxfId="52">
  <autoFilter ref="BJ1:BN13"/>
  <tableColumns count="5">
    <tableColumn id="1" name="Option 1" dataDxfId="51"/>
    <tableColumn id="2" name="Option 2" dataDxfId="50"/>
    <tableColumn id="3" name="Option 3" dataDxfId="49"/>
    <tableColumn id="4" name="Option 4" dataDxfId="48"/>
    <tableColumn id="5" name="Option 5" dataDxfId="47"/>
  </tableColumns>
  <tableStyleInfo name="TableStyleMedium9" showFirstColumn="0" showLastColumn="0" showRowStripes="1" showColumnStripes="0"/>
</table>
</file>

<file path=xl/tables/table53.xml><?xml version="1.0" encoding="utf-8"?>
<table xmlns="http://schemas.openxmlformats.org/spreadsheetml/2006/main" id="16" name="DIR" displayName="DIR" ref="BP1:BT13" totalsRowShown="0" headerRowDxfId="46" dataDxfId="45">
  <autoFilter ref="BP1:BT13"/>
  <tableColumns count="5">
    <tableColumn id="1" name="Option 1" dataDxfId="44"/>
    <tableColumn id="2" name="Option 2" dataDxfId="43"/>
    <tableColumn id="3" name="Option 3" dataDxfId="42"/>
    <tableColumn id="4" name="Option 4" dataDxfId="41"/>
    <tableColumn id="5" name="Option 5" dataDxfId="40"/>
  </tableColumns>
  <tableStyleInfo name="TableStyleMedium9" showFirstColumn="0" showLastColumn="0" showRowStripes="1" showColumnStripes="0"/>
</table>
</file>

<file path=xl/tables/table54.xml><?xml version="1.0" encoding="utf-8"?>
<table xmlns="http://schemas.openxmlformats.org/spreadsheetml/2006/main" id="12" name="HousePaper" displayName="HousePaper" ref="A2:O42" totalsRowShown="0" headerRowDxfId="39" dataDxfId="38">
  <autoFilter ref="A2:O42"/>
  <tableColumns count="15">
    <tableColumn id="1" name="8.5x11" dataDxfId="37"/>
    <tableColumn id="2" name="11x17" dataDxfId="36"/>
    <tableColumn id="3" name="12x18" dataDxfId="35"/>
    <tableColumn id="4" name="13x19" dataDxfId="34"/>
    <tableColumn id="5" name="PaperName" dataDxfId="33"/>
    <tableColumn id="6" name="8.5x11 Bulk" dataDxfId="32" dataCellStyle="Currency"/>
    <tableColumn id="7" name="8.5 x 11" dataDxfId="31" dataCellStyle="Currency"/>
    <tableColumn id="8" name="8.5x11w/3.5" dataDxfId="30" dataCellStyle="Currency"/>
    <tableColumn id="9" name="8.5x14" dataDxfId="29" dataCellStyle="Currency"/>
    <tableColumn id="10" name="8.5x14w/3.5" dataDxfId="28" dataCellStyle="Currency"/>
    <tableColumn id="11" name="11x17 Bulk" dataDxfId="27" dataCellStyle="Currency"/>
    <tableColumn id="12" name="11 x 17 " dataDxfId="26" dataCellStyle="Currency"/>
    <tableColumn id="13" name="12x18 Bulk" dataDxfId="25" dataCellStyle="Currency"/>
    <tableColumn id="14" name="12 x 18" dataDxfId="24" dataCellStyle="Currency"/>
    <tableColumn id="15" name="13 x 19" dataDxfId="23" dataCellStyle="Currency"/>
  </tableColumns>
  <tableStyleInfo name="TableStyleMedium9" showFirstColumn="0" showLastColumn="0" showRowStripes="1" showColumnStripes="0"/>
</table>
</file>

<file path=xl/tables/table55.xml><?xml version="1.0" encoding="utf-8"?>
<table xmlns="http://schemas.openxmlformats.org/spreadsheetml/2006/main" id="39" name="Table39" displayName="Table39" ref="A2:E29" totalsRowShown="0" headerRowDxfId="22" dataDxfId="21">
  <autoFilter ref="A2:E29"/>
  <tableColumns count="5">
    <tableColumn id="1" name="Column1" dataDxfId="20"/>
    <tableColumn id="2" name="Class Agent Mailings_x000a_Single Letter" dataDxfId="19" dataCellStyle="Currency"/>
    <tableColumn id="3" name="Class Agent Mailings_x000a_Multiple Letters" dataDxfId="18" dataCellStyle="Currency"/>
    <tableColumn id="4" name="Large Mailings _x000a_per standard price list" dataDxfId="17"/>
    <tableColumn id="5" name="Newsletters in envelopes-one per mailing" dataDxfId="16" dataCellStyle="Currency"/>
  </tableColumns>
  <tableStyleInfo name="TableStyleMedium6" showFirstColumn="0" showLastColumn="0" showRowStripes="1" showColumnStripes="0"/>
</table>
</file>

<file path=xl/tables/table56.xml><?xml version="1.0" encoding="utf-8"?>
<table xmlns="http://schemas.openxmlformats.org/spreadsheetml/2006/main" id="40" name="Table40" displayName="Table40" ref="A31:C33" totalsRowShown="0" headerRowDxfId="15" dataDxfId="14">
  <autoFilter ref="A31:C33"/>
  <tableColumns count="3">
    <tableColumn id="1" name="Static Letter Printing - Qty less than 500" dataDxfId="13"/>
    <tableColumn id="2" name="Client Stock" dataDxfId="12" dataCellStyle="Currency"/>
    <tableColumn id="3" name="Mailrite Stock" dataDxfId="11" dataCellStyle="Currency"/>
  </tableColumns>
  <tableStyleInfo name="TableStyleMedium6" showFirstColumn="0" showLastColumn="0" showRowStripes="1" showColumnStripes="0"/>
</table>
</file>

<file path=xl/tables/table57.xml><?xml version="1.0" encoding="utf-8"?>
<table xmlns="http://schemas.openxmlformats.org/spreadsheetml/2006/main" id="41" name="Table41" displayName="Table41" ref="A2:D23" totalsRowShown="0" headerRowDxfId="10">
  <autoFilter ref="A2:D23"/>
  <tableColumns count="4">
    <tableColumn id="1" name="Column1" dataDxfId="9"/>
    <tableColumn id="2" name="List Price" dataDxfId="8"/>
    <tableColumn id="3" name="Hadley/SPC Price" dataDxfId="7"/>
    <tableColumn id="4" name="Notes" dataDxfId="6"/>
  </tableColumns>
  <tableStyleInfo name="TableStyleMedium6" showFirstColumn="0" showLastColumn="0" showRowStripes="1" showColumnStripes="0"/>
</table>
</file>

<file path=xl/tables/table58.xml><?xml version="1.0" encoding="utf-8"?>
<table xmlns="http://schemas.openxmlformats.org/spreadsheetml/2006/main" id="42" name="Table42" displayName="Table42" ref="A35:B39" totalsRowShown="0" headerRowDxfId="5" headerRowBorderDxfId="4" tableBorderDxfId="3" totalsRowBorderDxfId="2">
  <autoFilter ref="A35:B39"/>
  <tableColumns count="2">
    <tableColumn id="1" name="Column1" dataDxfId="1"/>
    <tableColumn id="2" name="price each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954F72"/>
      </a:accent4>
      <a:accent5>
        <a:srgbClr val="5B9BD5"/>
      </a:accent5>
      <a:accent6>
        <a:srgbClr val="70AD47"/>
      </a:accent6>
      <a:hlink>
        <a:srgbClr val="0563C1"/>
      </a:hlink>
      <a:folHlink>
        <a:srgbClr val="7030A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table" Target="../tables/table22.xml"/><Relationship Id="rId7" Type="http://schemas.openxmlformats.org/officeDocument/2006/relationships/table" Target="../tables/table2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Relationship Id="rId9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Relationship Id="rId9" Type="http://schemas.openxmlformats.org/officeDocument/2006/relationships/table" Target="../tables/table3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13" Type="http://schemas.openxmlformats.org/officeDocument/2006/relationships/table" Target="../tables/table50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12" Type="http://schemas.openxmlformats.org/officeDocument/2006/relationships/table" Target="../tables/table49.xml"/><Relationship Id="rId2" Type="http://schemas.openxmlformats.org/officeDocument/2006/relationships/table" Target="../tables/table39.xml"/><Relationship Id="rId16" Type="http://schemas.openxmlformats.org/officeDocument/2006/relationships/table" Target="../tables/table53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5" Type="http://schemas.openxmlformats.org/officeDocument/2006/relationships/table" Target="../tables/table5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Relationship Id="rId14" Type="http://schemas.openxmlformats.org/officeDocument/2006/relationships/table" Target="../tables/table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8"/>
  <sheetViews>
    <sheetView workbookViewId="0">
      <selection activeCell="G7" sqref="G7"/>
    </sheetView>
  </sheetViews>
  <sheetFormatPr defaultRowHeight="15" x14ac:dyDescent="0.25"/>
  <cols>
    <col min="1" max="1" width="19.7109375" style="16" customWidth="1"/>
    <col min="2" max="2" width="9.7109375" style="16" customWidth="1"/>
    <col min="3" max="3" width="4.42578125" style="16" customWidth="1"/>
    <col min="4" max="4" width="10.7109375" style="254" customWidth="1"/>
    <col min="5" max="5" width="79.85546875" style="16" bestFit="1" customWidth="1"/>
    <col min="6" max="6" width="9.140625" style="16"/>
    <col min="7" max="7" width="127.5703125" style="16" customWidth="1"/>
    <col min="8" max="16384" width="9.140625" style="16"/>
  </cols>
  <sheetData>
    <row r="1" spans="1:7" ht="15.75" x14ac:dyDescent="0.25">
      <c r="A1" s="16" t="s">
        <v>383</v>
      </c>
      <c r="B1" s="59">
        <v>43280</v>
      </c>
      <c r="D1" s="423" t="s">
        <v>315</v>
      </c>
      <c r="E1" s="423"/>
      <c r="G1" s="11" t="s">
        <v>385</v>
      </c>
    </row>
    <row r="2" spans="1:7" x14ac:dyDescent="0.25">
      <c r="A2" s="16" t="s">
        <v>384</v>
      </c>
      <c r="D2" s="252" t="s">
        <v>316</v>
      </c>
      <c r="E2" s="60" t="s">
        <v>317</v>
      </c>
      <c r="G2" s="57" t="s">
        <v>272</v>
      </c>
    </row>
    <row r="3" spans="1:7" x14ac:dyDescent="0.25">
      <c r="A3" s="16" t="s">
        <v>724</v>
      </c>
      <c r="B3" s="59">
        <v>43293</v>
      </c>
      <c r="D3" s="251">
        <v>180711</v>
      </c>
      <c r="E3" s="24" t="s">
        <v>718</v>
      </c>
      <c r="G3" s="57" t="s">
        <v>274</v>
      </c>
    </row>
    <row r="4" spans="1:7" x14ac:dyDescent="0.25">
      <c r="A4"/>
      <c r="B4"/>
      <c r="D4" s="253">
        <v>180711</v>
      </c>
      <c r="E4" s="61" t="s">
        <v>722</v>
      </c>
      <c r="G4" s="55" t="s">
        <v>276</v>
      </c>
    </row>
    <row r="5" spans="1:7" x14ac:dyDescent="0.25">
      <c r="A5"/>
      <c r="B5"/>
      <c r="C5" s="24"/>
      <c r="D5" s="253">
        <v>180711</v>
      </c>
      <c r="E5" s="61" t="s">
        <v>721</v>
      </c>
      <c r="F5"/>
      <c r="G5" s="55" t="s">
        <v>278</v>
      </c>
    </row>
    <row r="6" spans="1:7" x14ac:dyDescent="0.25">
      <c r="A6"/>
      <c r="B6"/>
      <c r="C6" s="24"/>
      <c r="D6" s="253">
        <v>180712</v>
      </c>
      <c r="E6" s="61" t="s">
        <v>723</v>
      </c>
      <c r="F6" s="61"/>
      <c r="G6" s="55" t="s">
        <v>280</v>
      </c>
    </row>
    <row r="7" spans="1:7" x14ac:dyDescent="0.25">
      <c r="A7"/>
      <c r="B7"/>
      <c r="C7" s="24"/>
      <c r="D7" s="253">
        <v>180712</v>
      </c>
      <c r="E7" s="61" t="s">
        <v>743</v>
      </c>
      <c r="F7" s="61"/>
      <c r="G7" s="55" t="s">
        <v>282</v>
      </c>
    </row>
    <row r="8" spans="1:7" x14ac:dyDescent="0.25">
      <c r="A8"/>
      <c r="B8"/>
      <c r="C8" s="24"/>
      <c r="F8" s="61"/>
      <c r="G8" s="55" t="s">
        <v>284</v>
      </c>
    </row>
    <row r="9" spans="1:7" x14ac:dyDescent="0.25">
      <c r="A9"/>
      <c r="B9"/>
      <c r="C9" s="24"/>
      <c r="F9" s="61"/>
      <c r="G9" s="58" t="s">
        <v>286</v>
      </c>
    </row>
    <row r="10" spans="1:7" x14ac:dyDescent="0.25">
      <c r="A10"/>
      <c r="B10"/>
      <c r="C10" s="24"/>
      <c r="F10" s="24"/>
      <c r="G10" s="55" t="s">
        <v>288</v>
      </c>
    </row>
    <row r="11" spans="1:7" x14ac:dyDescent="0.25">
      <c r="A11"/>
      <c r="B11"/>
      <c r="C11" s="24"/>
      <c r="F11" s="24"/>
      <c r="G11" s="58" t="s">
        <v>289</v>
      </c>
    </row>
    <row r="12" spans="1:7" x14ac:dyDescent="0.25">
      <c r="A12"/>
      <c r="B12"/>
      <c r="C12" s="24"/>
      <c r="F12" s="24"/>
      <c r="G12" s="55" t="s">
        <v>293</v>
      </c>
    </row>
    <row r="13" spans="1:7" x14ac:dyDescent="0.25">
      <c r="A13"/>
      <c r="B13"/>
      <c r="C13" s="24"/>
      <c r="F13" s="24"/>
      <c r="G13" s="55" t="s">
        <v>295</v>
      </c>
    </row>
    <row r="14" spans="1:7" x14ac:dyDescent="0.25">
      <c r="A14"/>
      <c r="B14"/>
      <c r="C14" s="24"/>
      <c r="F14" s="24"/>
      <c r="G14" s="55" t="s">
        <v>297</v>
      </c>
    </row>
    <row r="15" spans="1:7" x14ac:dyDescent="0.25">
      <c r="A15"/>
      <c r="B15"/>
      <c r="C15" s="24"/>
      <c r="F15" s="24"/>
      <c r="G15" s="58" t="s">
        <v>299</v>
      </c>
    </row>
    <row r="16" spans="1:7" x14ac:dyDescent="0.25">
      <c r="A16"/>
      <c r="B16"/>
      <c r="C16" s="24"/>
      <c r="F16" s="24"/>
      <c r="G16" s="55" t="s">
        <v>300</v>
      </c>
    </row>
    <row r="17" spans="7:7" x14ac:dyDescent="0.25">
      <c r="G17" s="55" t="s">
        <v>301</v>
      </c>
    </row>
    <row r="18" spans="7:7" x14ac:dyDescent="0.25">
      <c r="G18" s="55" t="s">
        <v>302</v>
      </c>
    </row>
    <row r="19" spans="7:7" x14ac:dyDescent="0.25">
      <c r="G19" s="58" t="s">
        <v>303</v>
      </c>
    </row>
    <row r="20" spans="7:7" x14ac:dyDescent="0.25">
      <c r="G20" s="55" t="s">
        <v>304</v>
      </c>
    </row>
    <row r="21" spans="7:7" x14ac:dyDescent="0.25">
      <c r="G21" s="55" t="s">
        <v>305</v>
      </c>
    </row>
    <row r="22" spans="7:7" x14ac:dyDescent="0.25">
      <c r="G22" s="55" t="s">
        <v>306</v>
      </c>
    </row>
    <row r="23" spans="7:7" x14ac:dyDescent="0.25">
      <c r="G23" s="55" t="s">
        <v>307</v>
      </c>
    </row>
    <row r="24" spans="7:7" x14ac:dyDescent="0.25">
      <c r="G24" s="55" t="s">
        <v>308</v>
      </c>
    </row>
    <row r="25" spans="7:7" x14ac:dyDescent="0.25">
      <c r="G25" s="55" t="s">
        <v>309</v>
      </c>
    </row>
    <row r="26" spans="7:7" x14ac:dyDescent="0.25">
      <c r="G26" s="55" t="s">
        <v>310</v>
      </c>
    </row>
    <row r="27" spans="7:7" x14ac:dyDescent="0.25">
      <c r="G27" s="55" t="s">
        <v>312</v>
      </c>
    </row>
    <row r="28" spans="7:7" x14ac:dyDescent="0.25">
      <c r="G28" s="55" t="s">
        <v>313</v>
      </c>
    </row>
  </sheetData>
  <mergeCells count="1">
    <mergeCell ref="D1:E1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63"/>
  <sheetViews>
    <sheetView view="pageBreakPreview" zoomScale="85" zoomScaleNormal="85" zoomScaleSheetLayoutView="85" workbookViewId="0">
      <pane ySplit="1" topLeftCell="A2" activePane="bottomLeft" state="frozen"/>
      <selection pane="bottomLeft" activeCell="C235" sqref="C235"/>
    </sheetView>
  </sheetViews>
  <sheetFormatPr defaultColWidth="12.7109375" defaultRowHeight="27" customHeight="1" x14ac:dyDescent="0.25"/>
  <cols>
    <col min="1" max="1" width="26.28515625" style="316" customWidth="1"/>
    <col min="2" max="2" width="33.85546875" style="316" customWidth="1"/>
    <col min="3" max="3" width="22" style="338" bestFit="1" customWidth="1"/>
    <col min="4" max="14" width="15.85546875" style="16" customWidth="1"/>
    <col min="15" max="15" width="15.140625" style="16" customWidth="1"/>
    <col min="16" max="16384" width="12.7109375" style="16"/>
  </cols>
  <sheetData>
    <row r="1" spans="1:16" ht="27" customHeight="1" x14ac:dyDescent="0.25">
      <c r="A1" s="337" t="s">
        <v>426</v>
      </c>
      <c r="B1" s="298"/>
      <c r="P1" s="388" t="s">
        <v>564</v>
      </c>
    </row>
    <row r="2" spans="1:16" s="11" customFormat="1" ht="27" customHeight="1" x14ac:dyDescent="0.25">
      <c r="A2" s="335" t="s">
        <v>212</v>
      </c>
      <c r="B2" s="395" t="s">
        <v>233</v>
      </c>
      <c r="C2" s="396" t="s">
        <v>208</v>
      </c>
      <c r="L2" s="6"/>
      <c r="M2" s="6"/>
      <c r="N2" s="8"/>
      <c r="O2" s="6"/>
      <c r="P2" s="388" t="s">
        <v>565</v>
      </c>
    </row>
    <row r="3" spans="1:16" ht="27" customHeight="1" x14ac:dyDescent="0.25">
      <c r="A3" s="303" t="s">
        <v>213</v>
      </c>
      <c r="B3" s="397" t="s">
        <v>214</v>
      </c>
      <c r="C3" s="398">
        <v>185</v>
      </c>
      <c r="L3" s="8"/>
      <c r="M3" s="8"/>
      <c r="N3" s="8"/>
      <c r="O3" s="8"/>
      <c r="P3" s="388" t="s">
        <v>566</v>
      </c>
    </row>
    <row r="4" spans="1:16" ht="27" customHeight="1" x14ac:dyDescent="0.25">
      <c r="A4" s="304" t="s">
        <v>213</v>
      </c>
      <c r="B4" s="399" t="s">
        <v>217</v>
      </c>
      <c r="C4" s="400" t="s">
        <v>218</v>
      </c>
      <c r="L4" s="8"/>
      <c r="M4" s="8"/>
      <c r="N4" s="8"/>
      <c r="O4" s="8"/>
      <c r="P4" s="388" t="s">
        <v>567</v>
      </c>
    </row>
    <row r="5" spans="1:16" ht="27" customHeight="1" x14ac:dyDescent="0.25">
      <c r="A5" s="303" t="s">
        <v>387</v>
      </c>
      <c r="B5" s="397" t="s">
        <v>215</v>
      </c>
      <c r="C5" s="401">
        <v>1</v>
      </c>
      <c r="L5" s="8"/>
      <c r="M5" s="8"/>
      <c r="N5" s="8"/>
      <c r="O5" s="8"/>
      <c r="P5" s="388" t="s">
        <v>568</v>
      </c>
    </row>
    <row r="6" spans="1:16" ht="27" customHeight="1" x14ac:dyDescent="0.25">
      <c r="A6" s="304" t="s">
        <v>387</v>
      </c>
      <c r="B6" s="399" t="s">
        <v>219</v>
      </c>
      <c r="C6" s="402">
        <v>0.5</v>
      </c>
      <c r="L6" s="8"/>
      <c r="M6" s="8"/>
      <c r="N6" s="8"/>
      <c r="O6" s="8"/>
      <c r="P6" s="388" t="s">
        <v>569</v>
      </c>
    </row>
    <row r="7" spans="1:16" ht="27" customHeight="1" x14ac:dyDescent="0.25">
      <c r="A7" s="393" t="s">
        <v>387</v>
      </c>
      <c r="B7" s="310" t="s">
        <v>220</v>
      </c>
      <c r="C7" s="394">
        <v>0.25</v>
      </c>
      <c r="L7" s="8"/>
      <c r="M7" s="8"/>
      <c r="N7" s="8"/>
      <c r="O7" s="8"/>
      <c r="P7" s="388" t="s">
        <v>570</v>
      </c>
    </row>
    <row r="8" spans="1:16" ht="27" customHeight="1" x14ac:dyDescent="0.25">
      <c r="C8" s="79"/>
      <c r="L8" s="8"/>
      <c r="M8" s="8"/>
      <c r="N8" s="8"/>
      <c r="O8" s="8"/>
      <c r="P8" s="388" t="s">
        <v>571</v>
      </c>
    </row>
    <row r="9" spans="1:16" ht="27" customHeight="1" x14ac:dyDescent="0.25">
      <c r="A9" s="299" t="s">
        <v>386</v>
      </c>
      <c r="B9" s="299"/>
      <c r="C9" s="176"/>
      <c r="L9" s="8"/>
      <c r="M9" s="8"/>
      <c r="N9" s="179"/>
      <c r="O9" s="8"/>
      <c r="P9" s="389" t="s">
        <v>572</v>
      </c>
    </row>
    <row r="10" spans="1:16" s="11" customFormat="1" ht="27" customHeight="1" x14ac:dyDescent="0.25">
      <c r="A10" s="339" t="s">
        <v>212</v>
      </c>
      <c r="B10" s="339" t="s">
        <v>233</v>
      </c>
      <c r="C10" s="11" t="s">
        <v>208</v>
      </c>
      <c r="F10" s="102"/>
      <c r="L10" s="6"/>
      <c r="M10" s="6"/>
      <c r="N10" s="8"/>
      <c r="O10" s="6"/>
      <c r="P10" s="388" t="s">
        <v>573</v>
      </c>
    </row>
    <row r="11" spans="1:16" ht="27" customHeight="1" x14ac:dyDescent="0.25">
      <c r="A11" s="316" t="s">
        <v>222</v>
      </c>
      <c r="B11" s="316" t="s">
        <v>744</v>
      </c>
      <c r="C11" s="63">
        <v>85</v>
      </c>
      <c r="L11" s="8"/>
      <c r="M11" s="8"/>
      <c r="N11" s="8"/>
      <c r="O11" s="8"/>
      <c r="P11" s="388" t="s">
        <v>574</v>
      </c>
    </row>
    <row r="12" spans="1:16" ht="27" customHeight="1" x14ac:dyDescent="0.25">
      <c r="A12" s="316" t="s">
        <v>223</v>
      </c>
      <c r="B12" s="316" t="s">
        <v>224</v>
      </c>
      <c r="C12" s="63">
        <v>102.5</v>
      </c>
      <c r="L12" s="8"/>
      <c r="M12" s="8"/>
      <c r="N12" s="8"/>
      <c r="O12" s="8"/>
      <c r="P12" s="388" t="s">
        <v>732</v>
      </c>
    </row>
    <row r="13" spans="1:16" ht="27" customHeight="1" x14ac:dyDescent="0.25">
      <c r="A13" s="316" t="s">
        <v>225</v>
      </c>
      <c r="B13" s="316" t="s">
        <v>626</v>
      </c>
      <c r="C13" s="63">
        <v>25</v>
      </c>
      <c r="L13" s="8"/>
      <c r="M13" s="8"/>
      <c r="N13" s="8"/>
      <c r="O13" s="8"/>
      <c r="P13" s="8"/>
    </row>
    <row r="14" spans="1:16" ht="27" customHeight="1" x14ac:dyDescent="0.25">
      <c r="A14" s="316" t="s">
        <v>225</v>
      </c>
      <c r="B14" s="316" t="s">
        <v>226</v>
      </c>
      <c r="C14" s="63">
        <v>50</v>
      </c>
      <c r="L14" s="8"/>
      <c r="M14" s="8"/>
      <c r="N14" s="8"/>
      <c r="O14" s="8"/>
      <c r="P14" s="8"/>
    </row>
    <row r="15" spans="1:16" ht="27" customHeight="1" x14ac:dyDescent="0.25">
      <c r="A15" s="316" t="s">
        <v>225</v>
      </c>
      <c r="B15" s="316" t="s">
        <v>745</v>
      </c>
      <c r="C15" s="63">
        <v>15</v>
      </c>
      <c r="L15" s="8"/>
      <c r="M15" s="8"/>
      <c r="N15" s="8"/>
      <c r="O15" s="8"/>
      <c r="P15" s="8"/>
    </row>
    <row r="16" spans="1:16" ht="27" customHeight="1" x14ac:dyDescent="0.25">
      <c r="A16" s="316" t="s">
        <v>225</v>
      </c>
      <c r="B16" s="316" t="s">
        <v>746</v>
      </c>
      <c r="C16" s="63">
        <v>25</v>
      </c>
    </row>
    <row r="17" spans="1:3" ht="27" customHeight="1" x14ac:dyDescent="0.25">
      <c r="A17" s="316" t="s">
        <v>227</v>
      </c>
      <c r="B17" s="316" t="s">
        <v>747</v>
      </c>
      <c r="C17" s="63">
        <v>30</v>
      </c>
    </row>
    <row r="18" spans="1:3" ht="27" customHeight="1" x14ac:dyDescent="0.25">
      <c r="A18" s="316" t="s">
        <v>225</v>
      </c>
      <c r="B18" s="316" t="s">
        <v>748</v>
      </c>
      <c r="C18" s="63">
        <v>15</v>
      </c>
    </row>
    <row r="19" spans="1:3" ht="27" customHeight="1" x14ac:dyDescent="0.25">
      <c r="A19" s="316" t="s">
        <v>228</v>
      </c>
      <c r="B19" s="316" t="s">
        <v>749</v>
      </c>
      <c r="C19" s="63">
        <v>25</v>
      </c>
    </row>
    <row r="20" spans="1:3" ht="27" customHeight="1" x14ac:dyDescent="0.25">
      <c r="A20" s="316" t="s">
        <v>229</v>
      </c>
      <c r="B20" s="316" t="s">
        <v>750</v>
      </c>
      <c r="C20" s="63">
        <v>75</v>
      </c>
    </row>
    <row r="21" spans="1:3" ht="27" customHeight="1" x14ac:dyDescent="0.25">
      <c r="A21" s="316" t="s">
        <v>229</v>
      </c>
      <c r="B21" s="316" t="s">
        <v>751</v>
      </c>
      <c r="C21" s="63">
        <v>35</v>
      </c>
    </row>
    <row r="22" spans="1:3" ht="27" customHeight="1" x14ac:dyDescent="0.25">
      <c r="A22" s="340"/>
      <c r="B22" s="316" t="s">
        <v>752</v>
      </c>
      <c r="C22" s="63">
        <v>10</v>
      </c>
    </row>
    <row r="23" spans="1:3" ht="27" customHeight="1" x14ac:dyDescent="0.25">
      <c r="A23" s="316" t="s">
        <v>230</v>
      </c>
      <c r="B23" s="316" t="s">
        <v>753</v>
      </c>
      <c r="C23" s="63">
        <v>15</v>
      </c>
    </row>
    <row r="24" spans="1:3" ht="27" customHeight="1" x14ac:dyDescent="0.25">
      <c r="A24" s="316" t="s">
        <v>231</v>
      </c>
      <c r="B24" s="316" t="s">
        <v>754</v>
      </c>
      <c r="C24" s="63" t="s">
        <v>232</v>
      </c>
    </row>
    <row r="25" spans="1:3" ht="27" customHeight="1" x14ac:dyDescent="0.25">
      <c r="A25" s="316" t="s">
        <v>231</v>
      </c>
      <c r="B25" s="316" t="s">
        <v>755</v>
      </c>
      <c r="C25" s="63">
        <v>35</v>
      </c>
    </row>
    <row r="26" spans="1:3" ht="27" customHeight="1" x14ac:dyDescent="0.25">
      <c r="A26" s="316" t="s">
        <v>231</v>
      </c>
      <c r="B26" s="316" t="s">
        <v>756</v>
      </c>
      <c r="C26" s="63">
        <v>10</v>
      </c>
    </row>
    <row r="27" spans="1:3" ht="27" customHeight="1" x14ac:dyDescent="0.25">
      <c r="A27" s="316" t="s">
        <v>234</v>
      </c>
      <c r="B27" s="316" t="s">
        <v>757</v>
      </c>
      <c r="C27" s="63">
        <v>25</v>
      </c>
    </row>
    <row r="28" spans="1:3" ht="27" customHeight="1" x14ac:dyDescent="0.25">
      <c r="A28" s="316" t="s">
        <v>235</v>
      </c>
      <c r="B28" s="316" t="s">
        <v>758</v>
      </c>
      <c r="C28" s="63">
        <v>55</v>
      </c>
    </row>
    <row r="29" spans="1:3" ht="27" customHeight="1" x14ac:dyDescent="0.25">
      <c r="A29" s="316" t="s">
        <v>236</v>
      </c>
      <c r="B29" s="316" t="s">
        <v>767</v>
      </c>
      <c r="C29" s="63">
        <v>100</v>
      </c>
    </row>
    <row r="30" spans="1:3" ht="27" customHeight="1" x14ac:dyDescent="0.25">
      <c r="A30" s="316" t="s">
        <v>236</v>
      </c>
      <c r="B30" s="316" t="s">
        <v>764</v>
      </c>
      <c r="C30" s="63">
        <v>80</v>
      </c>
    </row>
    <row r="31" spans="1:3" ht="27" customHeight="1" x14ac:dyDescent="0.25">
      <c r="A31" s="316" t="s">
        <v>236</v>
      </c>
      <c r="B31" s="316" t="s">
        <v>768</v>
      </c>
      <c r="C31" s="63">
        <v>125</v>
      </c>
    </row>
    <row r="32" spans="1:3" ht="27" customHeight="1" x14ac:dyDescent="0.25">
      <c r="A32" s="316" t="s">
        <v>236</v>
      </c>
      <c r="B32" s="316" t="s">
        <v>765</v>
      </c>
      <c r="C32" s="63">
        <v>150</v>
      </c>
    </row>
    <row r="33" spans="1:3" ht="27" customHeight="1" x14ac:dyDescent="0.25">
      <c r="A33" s="316" t="s">
        <v>236</v>
      </c>
      <c r="B33" s="316" t="s">
        <v>769</v>
      </c>
      <c r="C33" s="63">
        <v>25</v>
      </c>
    </row>
    <row r="34" spans="1:3" ht="27" customHeight="1" x14ac:dyDescent="0.25">
      <c r="A34" s="316" t="s">
        <v>388</v>
      </c>
      <c r="B34" s="316" t="s">
        <v>759</v>
      </c>
      <c r="C34" s="63">
        <v>25</v>
      </c>
    </row>
    <row r="35" spans="1:3" ht="27" customHeight="1" x14ac:dyDescent="0.25">
      <c r="A35" s="316" t="s">
        <v>237</v>
      </c>
      <c r="B35" s="316" t="s">
        <v>770</v>
      </c>
      <c r="C35" s="63">
        <v>35</v>
      </c>
    </row>
    <row r="36" spans="1:3" ht="27" customHeight="1" x14ac:dyDescent="0.25">
      <c r="A36" s="316" t="s">
        <v>389</v>
      </c>
      <c r="B36" s="316" t="s">
        <v>760</v>
      </c>
      <c r="C36" s="63">
        <v>35</v>
      </c>
    </row>
    <row r="37" spans="1:3" ht="27" customHeight="1" x14ac:dyDescent="0.25">
      <c r="A37" s="316" t="s">
        <v>236</v>
      </c>
      <c r="B37" s="316" t="s">
        <v>761</v>
      </c>
      <c r="C37" s="63">
        <v>75</v>
      </c>
    </row>
    <row r="38" spans="1:3" ht="27" customHeight="1" x14ac:dyDescent="0.25">
      <c r="A38" s="316" t="s">
        <v>236</v>
      </c>
      <c r="B38" s="316" t="s">
        <v>771</v>
      </c>
      <c r="C38" s="63" t="s">
        <v>238</v>
      </c>
    </row>
    <row r="39" spans="1:3" ht="27" customHeight="1" x14ac:dyDescent="0.25">
      <c r="A39" s="316" t="s">
        <v>236</v>
      </c>
      <c r="B39" s="316" t="s">
        <v>762</v>
      </c>
      <c r="C39" s="63">
        <v>20</v>
      </c>
    </row>
    <row r="40" spans="1:3" ht="27" customHeight="1" x14ac:dyDescent="0.25">
      <c r="A40" s="316" t="s">
        <v>391</v>
      </c>
      <c r="B40" s="316" t="s">
        <v>772</v>
      </c>
      <c r="C40" s="63" t="s">
        <v>392</v>
      </c>
    </row>
    <row r="41" spans="1:3" ht="27" customHeight="1" x14ac:dyDescent="0.25">
      <c r="A41" s="316" t="s">
        <v>390</v>
      </c>
      <c r="B41" s="316" t="s">
        <v>773</v>
      </c>
      <c r="C41" s="63">
        <v>5</v>
      </c>
    </row>
    <row r="42" spans="1:3" ht="27" customHeight="1" x14ac:dyDescent="0.25">
      <c r="A42" s="316" t="s">
        <v>390</v>
      </c>
      <c r="B42" s="316" t="s">
        <v>774</v>
      </c>
      <c r="C42" s="63" t="s">
        <v>394</v>
      </c>
    </row>
    <row r="43" spans="1:3" ht="27" customHeight="1" x14ac:dyDescent="0.25">
      <c r="A43" s="316" t="s">
        <v>390</v>
      </c>
      <c r="B43" s="316" t="s">
        <v>775</v>
      </c>
      <c r="C43" s="63">
        <v>20</v>
      </c>
    </row>
    <row r="44" spans="1:3" ht="27" customHeight="1" x14ac:dyDescent="0.25">
      <c r="A44" s="316" t="s">
        <v>390</v>
      </c>
      <c r="B44" s="316" t="s">
        <v>777</v>
      </c>
      <c r="C44" s="63" t="s">
        <v>393</v>
      </c>
    </row>
    <row r="45" spans="1:3" ht="27" customHeight="1" x14ac:dyDescent="0.25">
      <c r="A45" s="316" t="s">
        <v>390</v>
      </c>
      <c r="B45" s="316" t="s">
        <v>776</v>
      </c>
      <c r="C45" s="63">
        <v>15</v>
      </c>
    </row>
    <row r="46" spans="1:3" ht="27" customHeight="1" x14ac:dyDescent="0.25">
      <c r="A46" s="316" t="s">
        <v>390</v>
      </c>
      <c r="B46" s="316" t="s">
        <v>778</v>
      </c>
      <c r="C46" s="63" t="s">
        <v>393</v>
      </c>
    </row>
    <row r="47" spans="1:3" ht="27" customHeight="1" x14ac:dyDescent="0.25">
      <c r="A47" s="316" t="s">
        <v>390</v>
      </c>
      <c r="B47" s="316" t="s">
        <v>779</v>
      </c>
      <c r="C47" s="63" t="s">
        <v>725</v>
      </c>
    </row>
    <row r="48" spans="1:3" ht="27" customHeight="1" x14ac:dyDescent="0.25">
      <c r="A48" s="316" t="s">
        <v>396</v>
      </c>
      <c r="B48" s="316" t="s">
        <v>398</v>
      </c>
      <c r="C48" s="63" t="s">
        <v>397</v>
      </c>
    </row>
    <row r="49" spans="1:13" ht="27" customHeight="1" x14ac:dyDescent="0.25">
      <c r="A49" s="316" t="s">
        <v>396</v>
      </c>
      <c r="B49" s="316" t="s">
        <v>763</v>
      </c>
      <c r="C49" s="63" t="s">
        <v>408</v>
      </c>
    </row>
    <row r="50" spans="1:13" ht="27" customHeight="1" x14ac:dyDescent="0.25">
      <c r="C50" s="63"/>
    </row>
    <row r="51" spans="1:13" ht="27" customHeight="1" x14ac:dyDescent="0.25">
      <c r="A51" s="299" t="s">
        <v>399</v>
      </c>
      <c r="B51" s="299"/>
      <c r="C51" s="176"/>
      <c r="D51" s="176"/>
      <c r="E51" s="176"/>
      <c r="F51" s="176"/>
      <c r="G51" s="176"/>
      <c r="H51" s="387"/>
      <c r="I51" s="387"/>
      <c r="J51" s="176"/>
      <c r="K51" s="176"/>
      <c r="L51" s="176"/>
      <c r="M51" s="176"/>
    </row>
    <row r="52" spans="1:13" s="341" customFormat="1" ht="27" customHeight="1" x14ac:dyDescent="0.25">
      <c r="A52" s="339" t="s">
        <v>212</v>
      </c>
      <c r="B52" s="339" t="s">
        <v>233</v>
      </c>
      <c r="C52" s="11" t="s">
        <v>239</v>
      </c>
      <c r="D52" s="65" t="s">
        <v>400</v>
      </c>
      <c r="E52" s="65" t="s">
        <v>891</v>
      </c>
      <c r="F52" s="65" t="s">
        <v>890</v>
      </c>
      <c r="G52" s="65" t="s">
        <v>892</v>
      </c>
      <c r="H52" s="65" t="s">
        <v>893</v>
      </c>
      <c r="I52" s="65" t="s">
        <v>894</v>
      </c>
      <c r="J52" s="65" t="s">
        <v>895</v>
      </c>
      <c r="K52" s="65" t="s">
        <v>896</v>
      </c>
      <c r="L52" s="65" t="s">
        <v>897</v>
      </c>
      <c r="M52" s="77" t="s">
        <v>491</v>
      </c>
    </row>
    <row r="53" spans="1:13" ht="27" customHeight="1" x14ac:dyDescent="0.25">
      <c r="A53" s="316" t="s">
        <v>240</v>
      </c>
      <c r="B53" s="316" t="s">
        <v>241</v>
      </c>
      <c r="C53" s="80">
        <v>10000</v>
      </c>
      <c r="D53" s="62">
        <v>38.5</v>
      </c>
      <c r="E53" s="62">
        <f>ROUND($D53*(1-INDEX(Table23[#All],MATCH($M53,Table23[[#All],[Discount Level]],0),MATCH(dpPiecePricing[[#Headers],[≥ 10000]],dpPiecePricing[[#Headers],[≥ 1]:[≥ 150000]],0)))/10,2)</f>
        <v>3.66</v>
      </c>
      <c r="F53" s="62">
        <f>ROUND($D53*(1-INDEX(Table23[#All],MATCH($M53,Table23[[#All],[Discount Level]],0),MATCH(dpPiecePricing[[#Headers],[≥ 20000]],dpPiecePricing[[#Headers],[≥ 1]:[≥ 150000]],0)))/10,2)</f>
        <v>3.47</v>
      </c>
      <c r="G53" s="62">
        <f>ROUND($D53*(1-INDEX(Table23[#All],MATCH($M53,Table23[[#All],[Discount Level]],0),MATCH(dpPiecePricing[[#Headers],[≥ 25000]],dpPiecePricing[[#Headers],[≥ 1]:[≥ 150000]],0)))/10,2)</f>
        <v>3.27</v>
      </c>
      <c r="H53" s="62">
        <f>ROUND($D53*(1-INDEX(Table23[#All],MATCH($M53,Table23[[#All],[Discount Level]],0),MATCH(dpPiecePricing[[#Headers],[≥ 30000]],dpPiecePricing[[#Headers],[≥ 1]:[≥ 150000]],0)))/10,2)</f>
        <v>3.08</v>
      </c>
      <c r="I53" s="62">
        <f>ROUND($D53*(1-INDEX(Table23[#All],MATCH($M53,Table23[[#All],[Discount Level]],0),MATCH(dpPiecePricing[[#Headers],[≥ 50000]],dpPiecePricing[[#Headers],[≥ 1]:[≥ 150000]],0)))/10,2)</f>
        <v>2.89</v>
      </c>
      <c r="J53" s="62">
        <f>ROUND($D53*(1-INDEX(Table23[#All],MATCH($M53,Table23[[#All],[Discount Level]],0),MATCH(dpPiecePricing[[#Headers],[≥ 75000]],dpPiecePricing[[#Headers],[≥ 1]:[≥ 150000]],0)))/10,2)</f>
        <v>2.7</v>
      </c>
      <c r="K53" s="62">
        <f>ROUND($D53*(1-INDEX(Table23[#All],MATCH($M53,Table23[[#All],[Discount Level]],0),MATCH(dpPiecePricing[[#Headers],[≥ 100000]],dpPiecePricing[[#Headers],[≥ 1]:[≥ 150000]],0)))/10,2)</f>
        <v>2.5</v>
      </c>
      <c r="L53" s="62">
        <f>ROUND($D53*(1-INDEX(Table23[#All],MATCH($M53,Table23[[#All],[Discount Level]],0),MATCH(dpPiecePricing[[#Headers],[≥ 150000]],dpPiecePricing[[#Headers],[≥ 1]:[≥ 150000]],0)))/10,2)</f>
        <v>2.41</v>
      </c>
      <c r="M53" s="62" t="s">
        <v>410</v>
      </c>
    </row>
    <row r="54" spans="1:13" ht="27" customHeight="1" x14ac:dyDescent="0.25">
      <c r="A54" s="316" t="s">
        <v>223</v>
      </c>
      <c r="B54" s="316" t="s">
        <v>242</v>
      </c>
      <c r="C54" s="80">
        <v>10000</v>
      </c>
      <c r="D54" s="62">
        <v>79</v>
      </c>
      <c r="E54" s="62">
        <f>ROUND($D54*(1-INDEX(Table23[#All],MATCH($M54,Table23[[#All],[Discount Level]],0),MATCH(dpPiecePricing[[#Headers],[≥ 10000]],dpPiecePricing[[#Headers],[≥ 1]:[≥ 150000]],0)))/10,2)</f>
        <v>7.51</v>
      </c>
      <c r="F54" s="62">
        <f>ROUND($D54*(1-INDEX(Table23[#All],MATCH($M54,Table23[[#All],[Discount Level]],0),MATCH(dpPiecePricing[[#Headers],[≥ 20000]],dpPiecePricing[[#Headers],[≥ 1]:[≥ 150000]],0)))/10,2)</f>
        <v>7.11</v>
      </c>
      <c r="G54" s="62">
        <f>ROUND($D54*(1-INDEX(Table23[#All],MATCH($M54,Table23[[#All],[Discount Level]],0),MATCH(dpPiecePricing[[#Headers],[≥ 25000]],dpPiecePricing[[#Headers],[≥ 1]:[≥ 150000]],0)))/10,2)</f>
        <v>6.72</v>
      </c>
      <c r="H54" s="62">
        <f>ROUND($D54*(1-INDEX(Table23[#All],MATCH($M54,Table23[[#All],[Discount Level]],0),MATCH(dpPiecePricing[[#Headers],[≥ 30000]],dpPiecePricing[[#Headers],[≥ 1]:[≥ 150000]],0)))/10,2)</f>
        <v>6.32</v>
      </c>
      <c r="I54" s="62">
        <f>ROUND($D54*(1-INDEX(Table23[#All],MATCH($M54,Table23[[#All],[Discount Level]],0),MATCH(dpPiecePricing[[#Headers],[≥ 50000]],dpPiecePricing[[#Headers],[≥ 1]:[≥ 150000]],0)))/10,2)</f>
        <v>5.93</v>
      </c>
      <c r="J54" s="62">
        <f>ROUND($D54*(1-INDEX(Table23[#All],MATCH($M54,Table23[[#All],[Discount Level]],0),MATCH(dpPiecePricing[[#Headers],[≥ 75000]],dpPiecePricing[[#Headers],[≥ 1]:[≥ 150000]],0)))/10,2)</f>
        <v>5.53</v>
      </c>
      <c r="K54" s="62">
        <f>ROUND($D54*(1-INDEX(Table23[#All],MATCH($M54,Table23[[#All],[Discount Level]],0),MATCH(dpPiecePricing[[#Headers],[≥ 100000]],dpPiecePricing[[#Headers],[≥ 1]:[≥ 150000]],0)))/10,2)</f>
        <v>5.14</v>
      </c>
      <c r="L54" s="62">
        <f>ROUND($D54*(1-INDEX(Table23[#All],MATCH($M54,Table23[[#All],[Discount Level]],0),MATCH(dpPiecePricing[[#Headers],[≥ 150000]],dpPiecePricing[[#Headers],[≥ 1]:[≥ 150000]],0)))/10,2)</f>
        <v>4.9400000000000004</v>
      </c>
      <c r="M54" s="62" t="s">
        <v>410</v>
      </c>
    </row>
    <row r="55" spans="1:13" ht="27" customHeight="1" x14ac:dyDescent="0.25">
      <c r="A55" s="316" t="s">
        <v>243</v>
      </c>
      <c r="B55" s="316" t="s">
        <v>780</v>
      </c>
      <c r="C55" s="80"/>
      <c r="D55" s="62">
        <v>4</v>
      </c>
      <c r="E55" s="62">
        <f>ROUND($D55*(1-INDEX(Table23[#All],MATCH($M55,Table23[[#All],[Discount Level]],0),MATCH(dpPiecePricing[[#Headers],[≥ 10000]],dpPiecePricing[[#Headers],[≥ 1]:[≥ 150000]],0))),2)</f>
        <v>3.8</v>
      </c>
      <c r="F55" s="62">
        <f>ROUND($D55*(1-INDEX(Table23[#All],MATCH($M55,Table23[[#All],[Discount Level]],0),MATCH(dpPiecePricing[[#Headers],[≥ 20000]],dpPiecePricing[[#Headers],[≥ 1]:[≥ 150000]],0))),2)</f>
        <v>3.6</v>
      </c>
      <c r="G55" s="62">
        <f>ROUND($D55*(1-INDEX(Table23[#All],MATCH($M55,Table23[[#All],[Discount Level]],0),MATCH(dpPiecePricing[[#Headers],[≥ 25000]],dpPiecePricing[[#Headers],[≥ 1]:[≥ 150000]],0))),2)</f>
        <v>3.4</v>
      </c>
      <c r="H55" s="62">
        <f>ROUND($D55*(1-INDEX(Table23[#All],MATCH($M55,Table23[[#All],[Discount Level]],0),MATCH(dpPiecePricing[[#Headers],[≥ 30000]],dpPiecePricing[[#Headers],[≥ 1]:[≥ 150000]],0))),2)</f>
        <v>3.2</v>
      </c>
      <c r="I55" s="62">
        <f>ROUND($D55*(1-INDEX(Table23[#All],MATCH($M55,Table23[[#All],[Discount Level]],0),MATCH(dpPiecePricing[[#Headers],[≥ 50000]],dpPiecePricing[[#Headers],[≥ 1]:[≥ 150000]],0))),2)</f>
        <v>3</v>
      </c>
      <c r="J55" s="62">
        <f>ROUND($D55*(1-INDEX(Table23[#All],MATCH($M55,Table23[[#All],[Discount Level]],0),MATCH(dpPiecePricing[[#Headers],[≥ 75000]],dpPiecePricing[[#Headers],[≥ 1]:[≥ 150000]],0))),2)</f>
        <v>2.8</v>
      </c>
      <c r="K55" s="62">
        <f>ROUND($D55*(1-INDEX(Table23[#All],MATCH($M55,Table23[[#All],[Discount Level]],0),MATCH(dpPiecePricing[[#Headers],[≥ 100000]],dpPiecePricing[[#Headers],[≥ 1]:[≥ 150000]],0))),2)</f>
        <v>2.6</v>
      </c>
      <c r="L55" s="62">
        <f>ROUND($D55*(1-INDEX(Table23[#All],MATCH($M55,Table23[[#All],[Discount Level]],0),MATCH(dpPiecePricing[[#Headers],[≥ 150000]],dpPiecePricing[[#Headers],[≥ 1]:[≥ 150000]],0))),2)</f>
        <v>2.5</v>
      </c>
      <c r="M55" s="62" t="s">
        <v>410</v>
      </c>
    </row>
    <row r="56" spans="1:13" ht="27" customHeight="1" x14ac:dyDescent="0.25">
      <c r="A56" s="316" t="s">
        <v>244</v>
      </c>
      <c r="B56" s="316" t="s">
        <v>781</v>
      </c>
      <c r="C56" s="80">
        <v>10000</v>
      </c>
      <c r="D56" s="62">
        <v>41</v>
      </c>
      <c r="E56" s="62">
        <f>ROUND($D56*(1-INDEX(Table23[#All],MATCH($M56,Table23[[#All],[Discount Level]],0),MATCH(dpPiecePricing[[#Headers],[≥ 10000]],dpPiecePricing[[#Headers],[≥ 1]:[≥ 150000]],0)))/10,2)</f>
        <v>3.9</v>
      </c>
      <c r="F56" s="62">
        <f>ROUND($D56*(1-INDEX(Table23[#All],MATCH($M56,Table23[[#All],[Discount Level]],0),MATCH(dpPiecePricing[[#Headers],[≥ 20000]],dpPiecePricing[[#Headers],[≥ 1]:[≥ 150000]],0)))/10,2)</f>
        <v>3.69</v>
      </c>
      <c r="G56" s="62">
        <f>ROUND($D56*(1-INDEX(Table23[#All],MATCH($M56,Table23[[#All],[Discount Level]],0),MATCH(dpPiecePricing[[#Headers],[≥ 25000]],dpPiecePricing[[#Headers],[≥ 1]:[≥ 150000]],0)))/10,2)</f>
        <v>3.49</v>
      </c>
      <c r="H56" s="62">
        <f>ROUND($D56*(1-INDEX(Table23[#All],MATCH($M56,Table23[[#All],[Discount Level]],0),MATCH(dpPiecePricing[[#Headers],[≥ 30000]],dpPiecePricing[[#Headers],[≥ 1]:[≥ 150000]],0)))/10,2)</f>
        <v>3.28</v>
      </c>
      <c r="I56" s="62">
        <f>ROUND($D56*(1-INDEX(Table23[#All],MATCH($M56,Table23[[#All],[Discount Level]],0),MATCH(dpPiecePricing[[#Headers],[≥ 50000]],dpPiecePricing[[#Headers],[≥ 1]:[≥ 150000]],0)))/10,2)</f>
        <v>3.08</v>
      </c>
      <c r="J56" s="62">
        <f>ROUND($D56*(1-INDEX(Table23[#All],MATCH($M56,Table23[[#All],[Discount Level]],0),MATCH(dpPiecePricing[[#Headers],[≥ 75000]],dpPiecePricing[[#Headers],[≥ 1]:[≥ 150000]],0)))/10,2)</f>
        <v>2.87</v>
      </c>
      <c r="K56" s="62">
        <f>ROUND($D56*(1-INDEX(Table23[#All],MATCH($M56,Table23[[#All],[Discount Level]],0),MATCH(dpPiecePricing[[#Headers],[≥ 100000]],dpPiecePricing[[#Headers],[≥ 1]:[≥ 150000]],0)))/10,2)</f>
        <v>2.67</v>
      </c>
      <c r="L56" s="62">
        <f>ROUND($D56*(1-INDEX(Table23[#All],MATCH($M56,Table23[[#All],[Discount Level]],0),MATCH(dpPiecePricing[[#Headers],[≥ 150000]],dpPiecePricing[[#Headers],[≥ 1]:[≥ 150000]],0)))/10,2)</f>
        <v>2.56</v>
      </c>
      <c r="M56" s="62" t="s">
        <v>410</v>
      </c>
    </row>
    <row r="57" spans="1:13" ht="27" customHeight="1" x14ac:dyDescent="0.25">
      <c r="A57" s="316" t="s">
        <v>245</v>
      </c>
      <c r="B57" s="316" t="s">
        <v>246</v>
      </c>
      <c r="C57" s="80">
        <v>10000</v>
      </c>
      <c r="D57" s="62">
        <v>66.5</v>
      </c>
      <c r="E57" s="62">
        <f>ROUND($D57*(1-INDEX(Table23[#All],MATCH($M57,Table23[[#All],[Discount Level]],0),MATCH(dpPiecePricing[[#Headers],[≥ 10000]],dpPiecePricing[[#Headers],[≥ 1]:[≥ 150000]],0)))/10,2)</f>
        <v>6.48</v>
      </c>
      <c r="F57" s="62">
        <f>ROUND($D57*(1-INDEX(Table23[#All],MATCH($M57,Table23[[#All],[Discount Level]],0),MATCH(dpPiecePricing[[#Headers],[≥ 20000]],dpPiecePricing[[#Headers],[≥ 1]:[≥ 150000]],0)))/10,2)</f>
        <v>6.32</v>
      </c>
      <c r="G57" s="62">
        <f>ROUND($D57*(1-INDEX(Table23[#All],MATCH($M57,Table23[[#All],[Discount Level]],0),MATCH(dpPiecePricing[[#Headers],[≥ 25000]],dpPiecePricing[[#Headers],[≥ 1]:[≥ 150000]],0)))/10,2)</f>
        <v>6.15</v>
      </c>
      <c r="H57" s="62">
        <f>ROUND($D57*(1-INDEX(Table23[#All],MATCH($M57,Table23[[#All],[Discount Level]],0),MATCH(dpPiecePricing[[#Headers],[≥ 30000]],dpPiecePricing[[#Headers],[≥ 1]:[≥ 150000]],0)))/10,2)</f>
        <v>5.99</v>
      </c>
      <c r="I57" s="62">
        <f>ROUND($D57*(1-INDEX(Table23[#All],MATCH($M57,Table23[[#All],[Discount Level]],0),MATCH(dpPiecePricing[[#Headers],[≥ 50000]],dpPiecePricing[[#Headers],[≥ 1]:[≥ 150000]],0)))/10,2)</f>
        <v>5.82</v>
      </c>
      <c r="J57" s="62">
        <f>ROUND($D57*(1-INDEX(Table23[#All],MATCH($M57,Table23[[#All],[Discount Level]],0),MATCH(dpPiecePricing[[#Headers],[≥ 75000]],dpPiecePricing[[#Headers],[≥ 1]:[≥ 150000]],0)))/10,2)</f>
        <v>5.65</v>
      </c>
      <c r="K57" s="62">
        <f>ROUND($D57*(1-INDEX(Table23[#All],MATCH($M57,Table23[[#All],[Discount Level]],0),MATCH(dpPiecePricing[[#Headers],[≥ 100000]],dpPiecePricing[[#Headers],[≥ 1]:[≥ 150000]],0)))/10,2)</f>
        <v>5.49</v>
      </c>
      <c r="L57" s="62">
        <f>ROUND($D57*(1-INDEX(Table23[#All],MATCH($M57,Table23[[#All],[Discount Level]],0),MATCH(dpPiecePricing[[#Headers],[≥ 150000]],dpPiecePricing[[#Headers],[≥ 1]:[≥ 150000]],0)))/10,2)</f>
        <v>5.32</v>
      </c>
      <c r="M57" s="62" t="s">
        <v>411</v>
      </c>
    </row>
    <row r="58" spans="1:13" ht="27" customHeight="1" x14ac:dyDescent="0.25">
      <c r="A58" s="316" t="s">
        <v>247</v>
      </c>
      <c r="B58" s="316" t="s">
        <v>782</v>
      </c>
      <c r="C58" s="80">
        <v>10000</v>
      </c>
      <c r="D58" s="62">
        <v>30.5</v>
      </c>
      <c r="E58" s="62">
        <f>ROUND($D58*(1-INDEX(Table23[#All],MATCH($M58,Table23[[#All],[Discount Level]],0),MATCH(dpPiecePricing[[#Headers],[≥ 10000]],dpPiecePricing[[#Headers],[≥ 1]:[≥ 150000]],0)))/10,2)</f>
        <v>2.97</v>
      </c>
      <c r="F58" s="62">
        <f>ROUND($D58*(1-INDEX(Table23[#All],MATCH($M58,Table23[[#All],[Discount Level]],0),MATCH(dpPiecePricing[[#Headers],[≥ 20000]],dpPiecePricing[[#Headers],[≥ 1]:[≥ 150000]],0)))/10,2)</f>
        <v>2.9</v>
      </c>
      <c r="G58" s="62">
        <f>ROUND($D58*(1-INDEX(Table23[#All],MATCH($M58,Table23[[#All],[Discount Level]],0),MATCH(dpPiecePricing[[#Headers],[≥ 25000]],dpPiecePricing[[#Headers],[≥ 1]:[≥ 150000]],0)))/10,2)</f>
        <v>2.82</v>
      </c>
      <c r="H58" s="62">
        <f>ROUND($D58*(1-INDEX(Table23[#All],MATCH($M58,Table23[[#All],[Discount Level]],0),MATCH(dpPiecePricing[[#Headers],[≥ 30000]],dpPiecePricing[[#Headers],[≥ 1]:[≥ 150000]],0)))/10,2)</f>
        <v>2.75</v>
      </c>
      <c r="I58" s="62">
        <f>ROUND($D58*(1-INDEX(Table23[#All],MATCH($M58,Table23[[#All],[Discount Level]],0),MATCH(dpPiecePricing[[#Headers],[≥ 50000]],dpPiecePricing[[#Headers],[≥ 1]:[≥ 150000]],0)))/10,2)</f>
        <v>2.67</v>
      </c>
      <c r="J58" s="62">
        <f>ROUND($D58*(1-INDEX(Table23[#All],MATCH($M58,Table23[[#All],[Discount Level]],0),MATCH(dpPiecePricing[[#Headers],[≥ 75000]],dpPiecePricing[[#Headers],[≥ 1]:[≥ 150000]],0)))/10,2)</f>
        <v>2.59</v>
      </c>
      <c r="K58" s="62">
        <f>ROUND($D58*(1-INDEX(Table23[#All],MATCH($M58,Table23[[#All],[Discount Level]],0),MATCH(dpPiecePricing[[#Headers],[≥ 100000]],dpPiecePricing[[#Headers],[≥ 1]:[≥ 150000]],0)))/10,2)</f>
        <v>2.52</v>
      </c>
      <c r="L58" s="62">
        <f>ROUND($D58*(1-INDEX(Table23[#All],MATCH($M58,Table23[[#All],[Discount Level]],0),MATCH(dpPiecePricing[[#Headers],[≥ 150000]],dpPiecePricing[[#Headers],[≥ 1]:[≥ 150000]],0)))/10,2)</f>
        <v>2.44</v>
      </c>
      <c r="M58" s="62" t="s">
        <v>411</v>
      </c>
    </row>
    <row r="59" spans="1:13" ht="27" customHeight="1" x14ac:dyDescent="0.25">
      <c r="A59" s="316" t="s">
        <v>248</v>
      </c>
      <c r="B59" s="316" t="s">
        <v>783</v>
      </c>
      <c r="C59" s="80">
        <v>10000</v>
      </c>
      <c r="D59" s="62">
        <v>66.5</v>
      </c>
      <c r="E59" s="62">
        <f>ROUND($D59*(1-INDEX(Table23[#All],MATCH($M59,Table23[[#All],[Discount Level]],0),MATCH(dpPiecePricing[[#Headers],[≥ 10000]],dpPiecePricing[[#Headers],[≥ 1]:[≥ 150000]],0)))/10,2)</f>
        <v>6.48</v>
      </c>
      <c r="F59" s="62">
        <f>ROUND($D59*(1-INDEX(Table23[#All],MATCH($M59,Table23[[#All],[Discount Level]],0),MATCH(dpPiecePricing[[#Headers],[≥ 20000]],dpPiecePricing[[#Headers],[≥ 1]:[≥ 150000]],0)))/10,2)</f>
        <v>6.32</v>
      </c>
      <c r="G59" s="62">
        <f>ROUND($D59*(1-INDEX(Table23[#All],MATCH($M59,Table23[[#All],[Discount Level]],0),MATCH(dpPiecePricing[[#Headers],[≥ 25000]],dpPiecePricing[[#Headers],[≥ 1]:[≥ 150000]],0)))/10,2)</f>
        <v>6.15</v>
      </c>
      <c r="H59" s="62">
        <f>ROUND($D59*(1-INDEX(Table23[#All],MATCH($M59,Table23[[#All],[Discount Level]],0),MATCH(dpPiecePricing[[#Headers],[≥ 30000]],dpPiecePricing[[#Headers],[≥ 1]:[≥ 150000]],0)))/10,2)</f>
        <v>5.99</v>
      </c>
      <c r="I59" s="62">
        <f>ROUND($D59*(1-INDEX(Table23[#All],MATCH($M59,Table23[[#All],[Discount Level]],0),MATCH(dpPiecePricing[[#Headers],[≥ 50000]],dpPiecePricing[[#Headers],[≥ 1]:[≥ 150000]],0)))/10,2)</f>
        <v>5.82</v>
      </c>
      <c r="J59" s="62">
        <f>ROUND($D59*(1-INDEX(Table23[#All],MATCH($M59,Table23[[#All],[Discount Level]],0),MATCH(dpPiecePricing[[#Headers],[≥ 75000]],dpPiecePricing[[#Headers],[≥ 1]:[≥ 150000]],0)))/10,2)</f>
        <v>5.65</v>
      </c>
      <c r="K59" s="62">
        <f>ROUND($D59*(1-INDEX(Table23[#All],MATCH($M59,Table23[[#All],[Discount Level]],0),MATCH(dpPiecePricing[[#Headers],[≥ 100000]],dpPiecePricing[[#Headers],[≥ 1]:[≥ 150000]],0)))/10,2)</f>
        <v>5.49</v>
      </c>
      <c r="L59" s="62">
        <f>ROUND($D59*(1-INDEX(Table23[#All],MATCH($M59,Table23[[#All],[Discount Level]],0),MATCH(dpPiecePricing[[#Headers],[≥ 150000]],dpPiecePricing[[#Headers],[≥ 1]:[≥ 150000]],0)))/10,2)</f>
        <v>5.32</v>
      </c>
      <c r="M59" s="62" t="s">
        <v>411</v>
      </c>
    </row>
    <row r="60" spans="1:13" ht="27" customHeight="1" x14ac:dyDescent="0.25">
      <c r="A60" s="316" t="s">
        <v>249</v>
      </c>
      <c r="B60" s="316" t="s">
        <v>784</v>
      </c>
      <c r="C60" s="80"/>
      <c r="D60" s="62">
        <v>35.5</v>
      </c>
      <c r="E60" s="385"/>
      <c r="F60" s="385"/>
      <c r="G60" s="385"/>
      <c r="H60" s="385"/>
      <c r="I60" s="385"/>
      <c r="J60" s="385"/>
      <c r="K60" s="385"/>
      <c r="L60" s="385"/>
      <c r="M60" s="62" t="s">
        <v>411</v>
      </c>
    </row>
    <row r="61" spans="1:13" ht="27" customHeight="1" x14ac:dyDescent="0.25">
      <c r="A61" s="316" t="s">
        <v>250</v>
      </c>
      <c r="B61" s="316" t="s">
        <v>785</v>
      </c>
      <c r="C61" s="80">
        <v>10000</v>
      </c>
      <c r="D61" s="62">
        <v>61</v>
      </c>
      <c r="E61" s="62">
        <f>dpPiecePricing[[#This Row],[≥ 1]]/10</f>
        <v>6.1</v>
      </c>
      <c r="F61" s="62">
        <f>ROUND($D61*(1-INDEX(Table23[#All],MATCH($M61,Table23[[#All],[Discount Level]],0),MATCH(dpPiecePricing[[#Headers],[≥ 20000]],dpPiecePricing[[#Headers],[≥ 10000]:[≥ 150000]],0)))/10,2)</f>
        <v>5.95</v>
      </c>
      <c r="G61" s="62">
        <f>ROUND($D61*(1-INDEX(Table23[#All],MATCH($M61,Table23[[#All],[Discount Level]],0),MATCH(dpPiecePricing[[#Headers],[≥ 25000]],dpPiecePricing[[#Headers],[≥ 10000]:[≥ 150000]],0)))/10,2)</f>
        <v>5.8</v>
      </c>
      <c r="H61" s="62">
        <f>ROUND($D61*(1-INDEX(Table23[#All],MATCH($M61,Table23[[#All],[Discount Level]],0),MATCH(dpPiecePricing[[#Headers],[≥ 30000]],dpPiecePricing[[#Headers],[≥ 10000]:[≥ 150000]],0)))/10,2)</f>
        <v>5.64</v>
      </c>
      <c r="I61" s="62">
        <f>ROUND($D61*(1-INDEX(Table23[#All],MATCH($M61,Table23[[#All],[Discount Level]],0),MATCH(dpPiecePricing[[#Headers],[≥ 50000]],dpPiecePricing[[#Headers],[≥ 10000]:[≥ 150000]],0)))/10,2)</f>
        <v>5.49</v>
      </c>
      <c r="J61" s="62">
        <f>ROUND($D61*(1-INDEX(Table23[#All],MATCH($M61,Table23[[#All],[Discount Level]],0),MATCH(dpPiecePricing[[#Headers],[≥ 75000]],dpPiecePricing[[#Headers],[≥ 10000]:[≥ 150000]],0)))/10,2)</f>
        <v>5.34</v>
      </c>
      <c r="K61" s="62">
        <f>ROUND($D61*(1-INDEX(Table23[#All],MATCH($M61,Table23[[#All],[Discount Level]],0),MATCH(dpPiecePricing[[#Headers],[≥ 100000]],dpPiecePricing[[#Headers],[≥ 10000]:[≥ 150000]],0)))/10,2)</f>
        <v>5.19</v>
      </c>
      <c r="L61" s="62">
        <f>ROUND($D61*(1-INDEX(Table23[#All],MATCH($M61,Table23[[#All],[Discount Level]],0),MATCH(dpPiecePricing[[#Headers],[≥ 150000]],dpPiecePricing[[#Headers],[≥ 10000]:[≥ 150000]],0)))/10,2)</f>
        <v>5.03</v>
      </c>
      <c r="M61" s="62" t="s">
        <v>411</v>
      </c>
    </row>
    <row r="62" spans="1:13" ht="27" customHeight="1" x14ac:dyDescent="0.25">
      <c r="A62" s="316" t="s">
        <v>251</v>
      </c>
      <c r="B62" s="316" t="s">
        <v>786</v>
      </c>
      <c r="C62" s="80">
        <v>10000</v>
      </c>
      <c r="D62" s="62">
        <v>80</v>
      </c>
      <c r="E62" s="62">
        <f>dpPiecePricing[[#This Row],[≥ 1]]/10</f>
        <v>8</v>
      </c>
      <c r="F62" s="62">
        <f>ROUND($D62*(1-INDEX(Table23[#All],MATCH($M62,Table23[[#All],[Discount Level]],0),MATCH(dpPiecePricing[[#Headers],[≥ 20000]],dpPiecePricing[[#Headers],[≥ 10000]:[≥ 150000]],0)))/10,2)</f>
        <v>7.8</v>
      </c>
      <c r="G62" s="62">
        <f>ROUND($D62*(1-INDEX(Table23[#All],MATCH($M62,Table23[[#All],[Discount Level]],0),MATCH(dpPiecePricing[[#Headers],[≥ 25000]],dpPiecePricing[[#Headers],[≥ 10000]:[≥ 150000]],0)))/10,2)</f>
        <v>7.6</v>
      </c>
      <c r="H62" s="62">
        <f>ROUND($D62*(1-INDEX(Table23[#All],MATCH($M62,Table23[[#All],[Discount Level]],0),MATCH(dpPiecePricing[[#Headers],[≥ 30000]],dpPiecePricing[[#Headers],[≥ 10000]:[≥ 150000]],0)))/10,2)</f>
        <v>7.4</v>
      </c>
      <c r="I62" s="62">
        <f>ROUND($D62*(1-INDEX(Table23[#All],MATCH($M62,Table23[[#All],[Discount Level]],0),MATCH(dpPiecePricing[[#Headers],[≥ 50000]],dpPiecePricing[[#Headers],[≥ 10000]:[≥ 150000]],0)))/10,2)</f>
        <v>7.2</v>
      </c>
      <c r="J62" s="62">
        <f>ROUND($D62*(1-INDEX(Table23[#All],MATCH($M62,Table23[[#All],[Discount Level]],0),MATCH(dpPiecePricing[[#Headers],[≥ 75000]],dpPiecePricing[[#Headers],[≥ 10000]:[≥ 150000]],0)))/10,2)</f>
        <v>7</v>
      </c>
      <c r="K62" s="62">
        <f>ROUND($D62*(1-INDEX(Table23[#All],MATCH($M62,Table23[[#All],[Discount Level]],0),MATCH(dpPiecePricing[[#Headers],[≥ 100000]],dpPiecePricing[[#Headers],[≥ 10000]:[≥ 150000]],0)))/10,2)</f>
        <v>6.8</v>
      </c>
      <c r="L62" s="62">
        <f>ROUND($D62*(1-INDEX(Table23[#All],MATCH($M62,Table23[[#All],[Discount Level]],0),MATCH(dpPiecePricing[[#Headers],[≥ 150000]],dpPiecePricing[[#Headers],[≥ 10000]:[≥ 150000]],0)))/10,2)</f>
        <v>6.6</v>
      </c>
      <c r="M62" s="62" t="s">
        <v>411</v>
      </c>
    </row>
    <row r="63" spans="1:13" ht="27" customHeight="1" x14ac:dyDescent="0.25">
      <c r="A63" s="316" t="s">
        <v>252</v>
      </c>
      <c r="B63" s="316" t="s">
        <v>787</v>
      </c>
      <c r="C63" s="80">
        <v>10000</v>
      </c>
      <c r="D63" s="62">
        <v>90</v>
      </c>
      <c r="E63" s="62">
        <f>dpPiecePricing[[#This Row],[≥ 1]]/10</f>
        <v>9</v>
      </c>
      <c r="F63" s="62">
        <f>ROUND($D63*(1-INDEX(Table23[#All],MATCH($M63,Table23[[#All],[Discount Level]],0),MATCH(dpPiecePricing[[#Headers],[≥ 20000]],dpPiecePricing[[#Headers],[≥ 10000]:[≥ 150000]],0)))/10,2)</f>
        <v>8.7799999999999994</v>
      </c>
      <c r="G63" s="62">
        <f>ROUND($D63*(1-INDEX(Table23[#All],MATCH($M63,Table23[[#All],[Discount Level]],0),MATCH(dpPiecePricing[[#Headers],[≥ 25000]],dpPiecePricing[[#Headers],[≥ 10000]:[≥ 150000]],0)))/10,2)</f>
        <v>8.5500000000000007</v>
      </c>
      <c r="H63" s="62">
        <f>ROUND($D63*(1-INDEX(Table23[#All],MATCH($M63,Table23[[#All],[Discount Level]],0),MATCH(dpPiecePricing[[#Headers],[≥ 30000]],dpPiecePricing[[#Headers],[≥ 10000]:[≥ 150000]],0)))/10,2)</f>
        <v>8.33</v>
      </c>
      <c r="I63" s="62">
        <f>ROUND($D63*(1-INDEX(Table23[#All],MATCH($M63,Table23[[#All],[Discount Level]],0),MATCH(dpPiecePricing[[#Headers],[≥ 50000]],dpPiecePricing[[#Headers],[≥ 10000]:[≥ 150000]],0)))/10,2)</f>
        <v>8.1</v>
      </c>
      <c r="J63" s="62">
        <f>ROUND($D63*(1-INDEX(Table23[#All],MATCH($M63,Table23[[#All],[Discount Level]],0),MATCH(dpPiecePricing[[#Headers],[≥ 75000]],dpPiecePricing[[#Headers],[≥ 10000]:[≥ 150000]],0)))/10,2)</f>
        <v>7.88</v>
      </c>
      <c r="K63" s="62">
        <f>ROUND($D63*(1-INDEX(Table23[#All],MATCH($M63,Table23[[#All],[Discount Level]],0),MATCH(dpPiecePricing[[#Headers],[≥ 100000]],dpPiecePricing[[#Headers],[≥ 10000]:[≥ 150000]],0)))/10,2)</f>
        <v>7.65</v>
      </c>
      <c r="L63" s="62">
        <f>ROUND($D63*(1-INDEX(Table23[#All],MATCH($M63,Table23[[#All],[Discount Level]],0),MATCH(dpPiecePricing[[#Headers],[≥ 150000]],dpPiecePricing[[#Headers],[≥ 10000]:[≥ 150000]],0)))/10,2)</f>
        <v>7.43</v>
      </c>
      <c r="M63" s="62" t="s">
        <v>411</v>
      </c>
    </row>
    <row r="64" spans="1:13" ht="27" customHeight="1" x14ac:dyDescent="0.25">
      <c r="A64" s="316" t="s">
        <v>253</v>
      </c>
      <c r="B64" s="316" t="s">
        <v>788</v>
      </c>
      <c r="C64" s="80">
        <v>30000</v>
      </c>
      <c r="D64" s="62">
        <v>153</v>
      </c>
      <c r="E64" s="385"/>
      <c r="F64" s="385"/>
      <c r="G64" s="385"/>
      <c r="H64" s="62">
        <f>ROUND($D64/dpPiecePricing[[#This Row],[Cut Over]]*(1-INDEX(Table23[#All],MATCH($M64,Table23[[#All],[Discount Level]],0),MATCH(dpPiecePricing[[#Headers],[≥ 30000]],dpPiecePricing[[#Headers],[≥ 1]:[≥ 150000]],0)))*1000,2)</f>
        <v>4.59</v>
      </c>
      <c r="I64" s="62">
        <f>ROUND($D64/dpPiecePricing[[#This Row],[Cut Over]]*(1-INDEX(Table23[#All],MATCH($M64,Table23[[#All],[Discount Level]],0),MATCH(dpPiecePricing[[#Headers],[≥ 50000]],dpPiecePricing[[#Headers],[≥ 1]:[≥ 150000]],0)))*1000,2)</f>
        <v>4.46</v>
      </c>
      <c r="J64" s="62">
        <f>ROUND($D64/dpPiecePricing[[#This Row],[Cut Over]]*(1-INDEX(Table23[#All],MATCH($M64,Table23[[#All],[Discount Level]],0),MATCH(dpPiecePricing[[#Headers],[≥ 75000]],dpPiecePricing[[#Headers],[≥ 1]:[≥ 150000]],0)))*1000,2)</f>
        <v>4.34</v>
      </c>
      <c r="K64" s="62">
        <f>ROUND($D64/dpPiecePricing[[#This Row],[Cut Over]]*(1-INDEX(Table23[#All],MATCH($M64,Table23[[#All],[Discount Level]],0),MATCH(dpPiecePricing[[#Headers],[≥ 100000]],dpPiecePricing[[#Headers],[≥ 1]:[≥ 150000]],0)))*1000,2)</f>
        <v>4.21</v>
      </c>
      <c r="L64" s="62">
        <f>ROUND($D64/dpPiecePricing[[#This Row],[Cut Over]]*(1-INDEX(Table23[#All],MATCH($M64,Table23[[#All],[Discount Level]],0),MATCH(dpPiecePricing[[#Headers],[≥ 150000]],dpPiecePricing[[#Headers],[≥ 1]:[≥ 150000]],0)))*1000,2)</f>
        <v>4.08</v>
      </c>
      <c r="M64" s="62" t="s">
        <v>411</v>
      </c>
    </row>
    <row r="65" spans="1:15" ht="27" customHeight="1" x14ac:dyDescent="0.25">
      <c r="A65" s="316" t="s">
        <v>253</v>
      </c>
      <c r="B65" s="316" t="s">
        <v>789</v>
      </c>
      <c r="C65" s="80">
        <v>30000</v>
      </c>
      <c r="D65" s="62">
        <v>153</v>
      </c>
      <c r="E65" s="385"/>
      <c r="F65" s="385"/>
      <c r="G65" s="385"/>
      <c r="H65" s="62">
        <f>ROUND($D65/dpPiecePricing[[#This Row],[Cut Over]]*(1-INDEX(Table23[#All],MATCH($M65,Table23[[#All],[Discount Level]],0),MATCH(dpPiecePricing[[#Headers],[≥ 30000]],dpPiecePricing[[#Headers],[≥ 1]:[≥ 150000]],0)))*1000,2)</f>
        <v>4.59</v>
      </c>
      <c r="I65" s="62">
        <f>ROUND($D65/dpPiecePricing[[#This Row],[Cut Over]]*(1-INDEX(Table23[#All],MATCH($M65,Table23[[#All],[Discount Level]],0),MATCH(dpPiecePricing[[#Headers],[≥ 50000]],dpPiecePricing[[#Headers],[≥ 1]:[≥ 150000]],0)))*1000,2)</f>
        <v>4.46</v>
      </c>
      <c r="J65" s="62">
        <f>ROUND($D65/dpPiecePricing[[#This Row],[Cut Over]]*(1-INDEX(Table23[#All],MATCH($M65,Table23[[#All],[Discount Level]],0),MATCH(dpPiecePricing[[#Headers],[≥ 75000]],dpPiecePricing[[#Headers],[≥ 1]:[≥ 150000]],0)))*1000,2)</f>
        <v>4.34</v>
      </c>
      <c r="K65" s="62">
        <f>ROUND($D65/dpPiecePricing[[#This Row],[Cut Over]]*(1-INDEX(Table23[#All],MATCH($M65,Table23[[#All],[Discount Level]],0),MATCH(dpPiecePricing[[#Headers],[≥ 100000]],dpPiecePricing[[#Headers],[≥ 1]:[≥ 150000]],0)))*1000,2)</f>
        <v>4.21</v>
      </c>
      <c r="L65" s="62">
        <f>ROUND($D65/dpPiecePricing[[#This Row],[Cut Over]]*(1-INDEX(Table23[#All],MATCH($M65,Table23[[#All],[Discount Level]],0),MATCH(dpPiecePricing[[#Headers],[≥ 150000]],dpPiecePricing[[#Headers],[≥ 1]:[≥ 150000]],0)))*1000,2)</f>
        <v>4.08</v>
      </c>
      <c r="M65" s="62" t="s">
        <v>411</v>
      </c>
    </row>
    <row r="66" spans="1:15" ht="27" customHeight="1" x14ac:dyDescent="0.25">
      <c r="A66" s="316" t="s">
        <v>253</v>
      </c>
      <c r="B66" s="316" t="s">
        <v>790</v>
      </c>
      <c r="C66" s="80">
        <v>30000</v>
      </c>
      <c r="D66" s="62">
        <v>153</v>
      </c>
      <c r="E66" s="385"/>
      <c r="F66" s="385"/>
      <c r="G66" s="385"/>
      <c r="H66" s="62">
        <f>ROUND($D66/dpPiecePricing[[#This Row],[Cut Over]]*(1-INDEX(Table23[#All],MATCH($M66,Table23[[#All],[Discount Level]],0),MATCH(dpPiecePricing[[#Headers],[≥ 30000]],dpPiecePricing[[#Headers],[≥ 1]:[≥ 150000]],0)))*1000,2)</f>
        <v>4.59</v>
      </c>
      <c r="I66" s="62">
        <f>ROUND($D66/dpPiecePricing[[#This Row],[Cut Over]]*(1-INDEX(Table23[#All],MATCH($M66,Table23[[#All],[Discount Level]],0),MATCH(dpPiecePricing[[#Headers],[≥ 50000]],dpPiecePricing[[#Headers],[≥ 1]:[≥ 150000]],0)))*1000,2)</f>
        <v>4.46</v>
      </c>
      <c r="J66" s="62">
        <f>ROUND($D66/dpPiecePricing[[#This Row],[Cut Over]]*(1-INDEX(Table23[#All],MATCH($M66,Table23[[#All],[Discount Level]],0),MATCH(dpPiecePricing[[#Headers],[≥ 75000]],dpPiecePricing[[#Headers],[≥ 1]:[≥ 150000]],0)))*1000,2)</f>
        <v>4.34</v>
      </c>
      <c r="K66" s="62">
        <f>ROUND($D66/dpPiecePricing[[#This Row],[Cut Over]]*(1-INDEX(Table23[#All],MATCH($M66,Table23[[#All],[Discount Level]],0),MATCH(dpPiecePricing[[#Headers],[≥ 100000]],dpPiecePricing[[#Headers],[≥ 1]:[≥ 150000]],0)))*1000,2)</f>
        <v>4.21</v>
      </c>
      <c r="L66" s="62">
        <f>ROUND($D66/dpPiecePricing[[#This Row],[Cut Over]]*(1-INDEX(Table23[#All],MATCH($M66,Table23[[#All],[Discount Level]],0),MATCH(dpPiecePricing[[#Headers],[≥ 150000]],dpPiecePricing[[#Headers],[≥ 1]:[≥ 150000]],0)))*1000,2)</f>
        <v>4.08</v>
      </c>
      <c r="M66" s="62" t="s">
        <v>411</v>
      </c>
    </row>
    <row r="67" spans="1:15" ht="27" customHeight="1" x14ac:dyDescent="0.25">
      <c r="A67" s="316" t="s">
        <v>253</v>
      </c>
      <c r="B67" s="316" t="s">
        <v>791</v>
      </c>
      <c r="C67" s="80">
        <v>30000</v>
      </c>
      <c r="D67" s="62">
        <v>245</v>
      </c>
      <c r="E67" s="385"/>
      <c r="F67" s="385"/>
      <c r="G67" s="385"/>
      <c r="H67" s="62">
        <f>ROUND($D67/dpPiecePricing[[#This Row],[Cut Over]]*(1-INDEX(Table23[#All],MATCH($M67,Table23[[#All],[Discount Level]],0),MATCH(dpPiecePricing[[#Headers],[≥ 30000]],dpPiecePricing[[#Headers],[≥ 1]:[≥ 150000]],0)))*1000,2)</f>
        <v>7.35</v>
      </c>
      <c r="I67" s="62">
        <f>ROUND($D67/dpPiecePricing[[#This Row],[Cut Over]]*(1-INDEX(Table23[#All],MATCH($M67,Table23[[#All],[Discount Level]],0),MATCH(dpPiecePricing[[#Headers],[≥ 50000]],dpPiecePricing[[#Headers],[≥ 1]:[≥ 150000]],0)))*1000,2)</f>
        <v>7.15</v>
      </c>
      <c r="J67" s="62">
        <f>ROUND($D67/dpPiecePricing[[#This Row],[Cut Over]]*(1-INDEX(Table23[#All],MATCH($M67,Table23[[#All],[Discount Level]],0),MATCH(dpPiecePricing[[#Headers],[≥ 75000]],dpPiecePricing[[#Headers],[≥ 1]:[≥ 150000]],0)))*1000,2)</f>
        <v>6.94</v>
      </c>
      <c r="K67" s="62">
        <f>ROUND($D67/dpPiecePricing[[#This Row],[Cut Over]]*(1-INDEX(Table23[#All],MATCH($M67,Table23[[#All],[Discount Level]],0),MATCH(dpPiecePricing[[#Headers],[≥ 100000]],dpPiecePricing[[#Headers],[≥ 1]:[≥ 150000]],0)))*1000,2)</f>
        <v>6.74</v>
      </c>
      <c r="L67" s="62">
        <f>ROUND($D67/dpPiecePricing[[#This Row],[Cut Over]]*(1-INDEX(Table23[#All],MATCH($M67,Table23[[#All],[Discount Level]],0),MATCH(dpPiecePricing[[#Headers],[≥ 150000]],dpPiecePricing[[#Headers],[≥ 1]:[≥ 150000]],0)))*1000,2)</f>
        <v>6.53</v>
      </c>
      <c r="M67" s="62" t="s">
        <v>411</v>
      </c>
    </row>
    <row r="68" spans="1:15" ht="27" customHeight="1" x14ac:dyDescent="0.25">
      <c r="A68" s="316" t="s">
        <v>253</v>
      </c>
      <c r="B68" s="316" t="s">
        <v>792</v>
      </c>
      <c r="C68" s="80">
        <v>1000</v>
      </c>
      <c r="D68" s="62">
        <v>51</v>
      </c>
      <c r="E68" s="62">
        <f>ROUND($D68*(1-INDEX(Table23[#All],MATCH($M68,Table23[[#All],[Discount Level]],0),MATCH(dpPiecePricing[[#Headers],[≥ 10000]],dpPiecePricing[[#Headers],[≥ 1]:[≥ 150000]],0))),2)</f>
        <v>49.73</v>
      </c>
      <c r="F68" s="62">
        <f>ROUND($D68*(1-INDEX(Table23[#All],MATCH($M68,Table23[[#All],[Discount Level]],0),MATCH(dpPiecePricing[[#Headers],[≥ 20000]],dpPiecePricing[[#Headers],[≥ 1]:[≥ 150000]],0))),2)</f>
        <v>48.45</v>
      </c>
      <c r="G68" s="62">
        <f>ROUND($D68*(1-INDEX(Table23[#All],MATCH($M68,Table23[[#All],[Discount Level]],0),MATCH(dpPiecePricing[[#Headers],[≥ 25000]],dpPiecePricing[[#Headers],[≥ 1]:[≥ 150000]],0))),2)</f>
        <v>47.18</v>
      </c>
      <c r="H68" s="62">
        <f>ROUND($D68*(1-INDEX(Table23[#All],MATCH($M68,Table23[[#All],[Discount Level]],0),MATCH(dpPiecePricing[[#Headers],[≥ 30000]],dpPiecePricing[[#Headers],[≥ 1]:[≥ 150000]],0))),2)</f>
        <v>45.9</v>
      </c>
      <c r="I68" s="62">
        <f>ROUND($D68*(1-INDEX(Table23[#All],MATCH($M68,Table23[[#All],[Discount Level]],0),MATCH(dpPiecePricing[[#Headers],[≥ 50000]],dpPiecePricing[[#Headers],[≥ 1]:[≥ 150000]],0))),2)</f>
        <v>44.63</v>
      </c>
      <c r="J68" s="62">
        <f>ROUND($D68*(1-INDEX(Table23[#All],MATCH($M68,Table23[[#All],[Discount Level]],0),MATCH(dpPiecePricing[[#Headers],[≥ 75000]],dpPiecePricing[[#Headers],[≥ 1]:[≥ 150000]],0))),2)</f>
        <v>43.35</v>
      </c>
      <c r="K68" s="62">
        <f>ROUND($D68*(1-INDEX(Table23[#All],MATCH($M68,Table23[[#All],[Discount Level]],0),MATCH(dpPiecePricing[[#Headers],[≥ 100000]],dpPiecePricing[[#Headers],[≥ 1]:[≥ 150000]],0))),2)</f>
        <v>42.08</v>
      </c>
      <c r="L68" s="62">
        <f>ROUND($D68*(1-INDEX(Table23[#All],MATCH($M68,Table23[[#All],[Discount Level]],0),MATCH(dpPiecePricing[[#Headers],[≥ 150000]],dpPiecePricing[[#Headers],[≥ 1]:[≥ 150000]],0))),2)</f>
        <v>40.799999999999997</v>
      </c>
      <c r="M68" s="62" t="s">
        <v>411</v>
      </c>
    </row>
    <row r="69" spans="1:15" ht="27" customHeight="1" x14ac:dyDescent="0.25">
      <c r="C69" s="63"/>
    </row>
    <row r="70" spans="1:15" ht="27" customHeight="1" x14ac:dyDescent="0.25">
      <c r="A70" s="299" t="s">
        <v>427</v>
      </c>
      <c r="B70" s="299"/>
      <c r="C70" s="176"/>
    </row>
    <row r="71" spans="1:15" s="11" customFormat="1" ht="27" customHeight="1" x14ac:dyDescent="0.25">
      <c r="A71" s="307" t="s">
        <v>212</v>
      </c>
      <c r="B71" s="300" t="s">
        <v>233</v>
      </c>
      <c r="C71" s="89" t="s">
        <v>208</v>
      </c>
    </row>
    <row r="72" spans="1:15" ht="27" customHeight="1" x14ac:dyDescent="0.25">
      <c r="A72" s="316" t="s">
        <v>388</v>
      </c>
      <c r="B72" s="316" t="s">
        <v>793</v>
      </c>
      <c r="C72" s="63">
        <v>15</v>
      </c>
    </row>
    <row r="73" spans="1:15" ht="27" customHeight="1" x14ac:dyDescent="0.25">
      <c r="A73" s="316" t="s">
        <v>388</v>
      </c>
      <c r="B73" s="316" t="s">
        <v>794</v>
      </c>
      <c r="C73" s="63">
        <v>15</v>
      </c>
    </row>
    <row r="74" spans="1:15" ht="27" customHeight="1" x14ac:dyDescent="0.25">
      <c r="A74" s="316" t="s">
        <v>388</v>
      </c>
      <c r="B74" s="316" t="s">
        <v>759</v>
      </c>
      <c r="C74" s="63">
        <v>25</v>
      </c>
    </row>
    <row r="75" spans="1:15" ht="27" customHeight="1" x14ac:dyDescent="0.25">
      <c r="A75" s="340"/>
      <c r="B75" s="316" t="s">
        <v>795</v>
      </c>
      <c r="C75" s="63">
        <v>35</v>
      </c>
    </row>
    <row r="76" spans="1:15" ht="27" customHeight="1" x14ac:dyDescent="0.25">
      <c r="A76" s="340"/>
      <c r="B76" s="316" t="s">
        <v>796</v>
      </c>
      <c r="C76" s="63">
        <v>50</v>
      </c>
    </row>
    <row r="77" spans="1:15" s="343" customFormat="1" ht="27" customHeight="1" x14ac:dyDescent="0.25">
      <c r="A77" s="342"/>
      <c r="B77" s="342"/>
      <c r="C77" s="81"/>
    </row>
    <row r="78" spans="1:15" ht="27" customHeight="1" x14ac:dyDescent="0.25">
      <c r="A78" s="301" t="s">
        <v>563</v>
      </c>
      <c r="B78" s="301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</row>
    <row r="79" spans="1:15" s="11" customFormat="1" ht="27" customHeight="1" x14ac:dyDescent="0.25">
      <c r="A79" s="307" t="s">
        <v>212</v>
      </c>
      <c r="B79" s="302" t="s">
        <v>233</v>
      </c>
      <c r="C79" s="90" t="s">
        <v>257</v>
      </c>
      <c r="D79" s="77" t="s">
        <v>400</v>
      </c>
      <c r="E79" s="77" t="s">
        <v>428</v>
      </c>
      <c r="F79" s="77" t="s">
        <v>401</v>
      </c>
      <c r="G79" s="77" t="s">
        <v>429</v>
      </c>
      <c r="H79" s="77" t="s">
        <v>402</v>
      </c>
      <c r="I79" s="77" t="s">
        <v>403</v>
      </c>
      <c r="J79" s="77" t="s">
        <v>430</v>
      </c>
      <c r="K79" s="77" t="s">
        <v>404</v>
      </c>
      <c r="L79" s="77" t="s">
        <v>405</v>
      </c>
      <c r="M79" s="77" t="s">
        <v>406</v>
      </c>
      <c r="N79" s="77" t="s">
        <v>407</v>
      </c>
      <c r="O79" s="77" t="s">
        <v>491</v>
      </c>
    </row>
    <row r="80" spans="1:15" ht="27" customHeight="1" x14ac:dyDescent="0.25">
      <c r="A80" s="316" t="s">
        <v>432</v>
      </c>
      <c r="B80" s="303" t="s">
        <v>797</v>
      </c>
      <c r="C80" s="82">
        <v>40</v>
      </c>
      <c r="D80" s="73">
        <v>54</v>
      </c>
      <c r="E80" s="62">
        <f>ROUND($D80*(1-INDEX(Table23[#All],MATCH($O80,Table23[[#All],[Discount Level]],0),MATCH(lettershopAddPricing[[#Headers],[≥ 5,000]],lettershopAddPricing[[#Headers],[≥ 1]:[≥ 150,000]],0))),2)</f>
        <v>49.95</v>
      </c>
      <c r="F80" s="62">
        <f>ROUND($D80*(1-INDEX(Table23[#All],MATCH($O80,Table23[[#All],[Discount Level]],0),MATCH(lettershopAddPricing[[#Headers],[≥ 10,000]],lettershopAddPricing[[#Headers],[≥ 1]:[≥ 150,000]],0))),2)</f>
        <v>47.25</v>
      </c>
      <c r="G80" s="62">
        <f>ROUND($D80*(1-INDEX(Table23[#All],MATCH($O80,Table23[[#All],[Discount Level]],0),MATCH(lettershopAddPricing[[#Headers],[≥ 15,000]],lettershopAddPricing[[#Headers],[≥ 1]:[≥ 150,000]],0))),2)</f>
        <v>44.55</v>
      </c>
      <c r="H80" s="62">
        <f>ROUND($D80*(1-INDEX(Table23[#All],MATCH($O80,Table23[[#All],[Discount Level]],0),MATCH(lettershopAddPricing[[#Headers],[≥ 20,000]],lettershopAddPricing[[#Headers],[≥ 1]:[≥ 150,000]],0))),2)</f>
        <v>43.2</v>
      </c>
      <c r="I80" s="62">
        <f>ROUND($D80*(1-INDEX(Table23[#All],MATCH($O80,Table23[[#All],[Discount Level]],0),MATCH(lettershopAddPricing[[#Headers],[≥ 25,000]],lettershopAddPricing[[#Headers],[≥ 1]:[≥ 150,000]],0))),2)</f>
        <v>40.5</v>
      </c>
      <c r="J80" s="62">
        <f>ROUND($D80*(1-INDEX(Table23[#All],MATCH($O80,Table23[[#All],[Discount Level]],0),MATCH(lettershopAddPricing[[#Headers],[≥ 35,000]],lettershopAddPricing[[#Headers],[≥ 1]:[≥ 150,000]],0))),2)</f>
        <v>37.799999999999997</v>
      </c>
      <c r="K80" s="62">
        <f>ROUND($D80*(1-INDEX(Table23[#All],MATCH($O80,Table23[[#All],[Discount Level]],0),MATCH(lettershopAddPricing[[#Headers],[≥ 50,000]],lettershopAddPricing[[#Headers],[≥ 1]:[≥ 150,000]],0))),2)</f>
        <v>35.1</v>
      </c>
      <c r="L80" s="62">
        <f>ROUND($D80*(1-INDEX(Table23[#All],MATCH($O80,Table23[[#All],[Discount Level]],0),MATCH(lettershopAddPricing[[#Headers],[≥ 75,000]],lettershopAddPricing[[#Headers],[≥ 1]:[≥ 150,000]],0))),2)</f>
        <v>32.4</v>
      </c>
      <c r="M80" s="62">
        <f>ROUND($D80*(1-INDEX(Table23[#All],MATCH($O80,Table23[[#All],[Discount Level]],0),MATCH(lettershopAddPricing[[#Headers],[≥ 100,000]],lettershopAddPricing[[#Headers],[≥ 1]:[≥ 150,000]],0))),2)</f>
        <v>31.05</v>
      </c>
      <c r="N80" s="62">
        <f>ROUND($D80*(1-INDEX(Table23[#All],MATCH($O80,Table23[[#All],[Discount Level]],0),MATCH(lettershopAddPricing[[#Headers],[≥ 150,000]],lettershopAddPricing[[#Headers],[≥ 1]:[≥ 150,000]],0))),2)</f>
        <v>29.7</v>
      </c>
      <c r="O80" s="75" t="s">
        <v>422</v>
      </c>
    </row>
    <row r="81" spans="1:15" ht="27" customHeight="1" x14ac:dyDescent="0.25">
      <c r="A81" s="316" t="s">
        <v>432</v>
      </c>
      <c r="B81" s="304" t="s">
        <v>798</v>
      </c>
      <c r="C81" s="83">
        <v>55</v>
      </c>
      <c r="D81" s="74">
        <v>61</v>
      </c>
      <c r="E81" s="62">
        <f>ROUND($D81*(1-INDEX(Table23[#All],MATCH($O81,Table23[[#All],[Discount Level]],0),MATCH(lettershopAddPricing[[#Headers],[≥ 5,000]],lettershopAddPricing[[#Headers],[≥ 1]:[≥ 150,000]],0))),2)</f>
        <v>56.43</v>
      </c>
      <c r="F81" s="62">
        <f>ROUND($D81*(1-INDEX(Table23[#All],MATCH($O81,Table23[[#All],[Discount Level]],0),MATCH(lettershopAddPricing[[#Headers],[≥ 10,000]],lettershopAddPricing[[#Headers],[≥ 1]:[≥ 150,000]],0))),2)</f>
        <v>53.38</v>
      </c>
      <c r="G81" s="62">
        <f>ROUND($D81*(1-INDEX(Table23[#All],MATCH($O81,Table23[[#All],[Discount Level]],0),MATCH(lettershopAddPricing[[#Headers],[≥ 15,000]],lettershopAddPricing[[#Headers],[≥ 1]:[≥ 150,000]],0))),2)</f>
        <v>50.33</v>
      </c>
      <c r="H81" s="62">
        <f>ROUND($D81*(1-INDEX(Table23[#All],MATCH($O81,Table23[[#All],[Discount Level]],0),MATCH(lettershopAddPricing[[#Headers],[≥ 20,000]],lettershopAddPricing[[#Headers],[≥ 1]:[≥ 150,000]],0))),2)</f>
        <v>48.8</v>
      </c>
      <c r="I81" s="62">
        <f>ROUND($D81*(1-INDEX(Table23[#All],MATCH($O81,Table23[[#All],[Discount Level]],0),MATCH(lettershopAddPricing[[#Headers],[≥ 25,000]],lettershopAddPricing[[#Headers],[≥ 1]:[≥ 150,000]],0))),2)</f>
        <v>45.75</v>
      </c>
      <c r="J81" s="62">
        <f>ROUND($D81*(1-INDEX(Table23[#All],MATCH($O81,Table23[[#All],[Discount Level]],0),MATCH(lettershopAddPricing[[#Headers],[≥ 35,000]],lettershopAddPricing[[#Headers],[≥ 1]:[≥ 150,000]],0))),2)</f>
        <v>42.7</v>
      </c>
      <c r="K81" s="62">
        <f>ROUND($D81*(1-INDEX(Table23[#All],MATCH($O81,Table23[[#All],[Discount Level]],0),MATCH(lettershopAddPricing[[#Headers],[≥ 50,000]],lettershopAddPricing[[#Headers],[≥ 1]:[≥ 150,000]],0))),2)</f>
        <v>39.65</v>
      </c>
      <c r="L81" s="62">
        <f>ROUND($D81*(1-INDEX(Table23[#All],MATCH($O81,Table23[[#All],[Discount Level]],0),MATCH(lettershopAddPricing[[#Headers],[≥ 75,000]],lettershopAddPricing[[#Headers],[≥ 1]:[≥ 150,000]],0))),2)</f>
        <v>36.6</v>
      </c>
      <c r="M81" s="62">
        <f>ROUND($D81*(1-INDEX(Table23[#All],MATCH($O81,Table23[[#All],[Discount Level]],0),MATCH(lettershopAddPricing[[#Headers],[≥ 100,000]],lettershopAddPricing[[#Headers],[≥ 1]:[≥ 150,000]],0))),2)</f>
        <v>35.08</v>
      </c>
      <c r="N81" s="62">
        <f>ROUND($D81*(1-INDEX(Table23[#All],MATCH($O81,Table23[[#All],[Discount Level]],0),MATCH(lettershopAddPricing[[#Headers],[≥ 150,000]],lettershopAddPricing[[#Headers],[≥ 1]:[≥ 150,000]],0))),2)</f>
        <v>33.549999999999997</v>
      </c>
      <c r="O81" s="76" t="s">
        <v>422</v>
      </c>
    </row>
    <row r="82" spans="1:15" ht="27" customHeight="1" x14ac:dyDescent="0.25">
      <c r="A82" s="316" t="s">
        <v>432</v>
      </c>
      <c r="B82" s="303" t="s">
        <v>799</v>
      </c>
      <c r="C82" s="82">
        <v>55</v>
      </c>
      <c r="D82" s="73">
        <v>66.5</v>
      </c>
      <c r="E82" s="62">
        <f>ROUND($D82*(1-INDEX(Table23[#All],MATCH($O82,Table23[[#All],[Discount Level]],0),MATCH(lettershopAddPricing[[#Headers],[≥ 5,000]],lettershopAddPricing[[#Headers],[≥ 1]:[≥ 150,000]],0))),2)</f>
        <v>61.51</v>
      </c>
      <c r="F82" s="62">
        <f>ROUND($D82*(1-INDEX(Table23[#All],MATCH($O82,Table23[[#All],[Discount Level]],0),MATCH(lettershopAddPricing[[#Headers],[≥ 10,000]],lettershopAddPricing[[#Headers],[≥ 1]:[≥ 150,000]],0))),2)</f>
        <v>58.19</v>
      </c>
      <c r="G82" s="62">
        <f>ROUND($D82*(1-INDEX(Table23[#All],MATCH($O82,Table23[[#All],[Discount Level]],0),MATCH(lettershopAddPricing[[#Headers],[≥ 15,000]],lettershopAddPricing[[#Headers],[≥ 1]:[≥ 150,000]],0))),2)</f>
        <v>54.86</v>
      </c>
      <c r="H82" s="62">
        <f>ROUND($D82*(1-INDEX(Table23[#All],MATCH($O82,Table23[[#All],[Discount Level]],0),MATCH(lettershopAddPricing[[#Headers],[≥ 20,000]],lettershopAddPricing[[#Headers],[≥ 1]:[≥ 150,000]],0))),2)</f>
        <v>53.2</v>
      </c>
      <c r="I82" s="62">
        <f>ROUND($D82*(1-INDEX(Table23[#All],MATCH($O82,Table23[[#All],[Discount Level]],0),MATCH(lettershopAddPricing[[#Headers],[≥ 25,000]],lettershopAddPricing[[#Headers],[≥ 1]:[≥ 150,000]],0))),2)</f>
        <v>49.88</v>
      </c>
      <c r="J82" s="62">
        <f>ROUND($D82*(1-INDEX(Table23[#All],MATCH($O82,Table23[[#All],[Discount Level]],0),MATCH(lettershopAddPricing[[#Headers],[≥ 35,000]],lettershopAddPricing[[#Headers],[≥ 1]:[≥ 150,000]],0))),2)</f>
        <v>46.55</v>
      </c>
      <c r="K82" s="62">
        <f>ROUND($D82*(1-INDEX(Table23[#All],MATCH($O82,Table23[[#All],[Discount Level]],0),MATCH(lettershopAddPricing[[#Headers],[≥ 50,000]],lettershopAddPricing[[#Headers],[≥ 1]:[≥ 150,000]],0))),2)</f>
        <v>43.23</v>
      </c>
      <c r="L82" s="62">
        <f>ROUND($D82*(1-INDEX(Table23[#All],MATCH($O82,Table23[[#All],[Discount Level]],0),MATCH(lettershopAddPricing[[#Headers],[≥ 75,000]],lettershopAddPricing[[#Headers],[≥ 1]:[≥ 150,000]],0))),2)</f>
        <v>39.9</v>
      </c>
      <c r="M82" s="62">
        <f>ROUND($D82*(1-INDEX(Table23[#All],MATCH($O82,Table23[[#All],[Discount Level]],0),MATCH(lettershopAddPricing[[#Headers],[≥ 100,000]],lettershopAddPricing[[#Headers],[≥ 1]:[≥ 150,000]],0))),2)</f>
        <v>38.24</v>
      </c>
      <c r="N82" s="62">
        <f>ROUND($D82*(1-INDEX(Table23[#All],MATCH($O82,Table23[[#All],[Discount Level]],0),MATCH(lettershopAddPricing[[#Headers],[≥ 150,000]],lettershopAddPricing[[#Headers],[≥ 1]:[≥ 150,000]],0))),2)</f>
        <v>36.58</v>
      </c>
      <c r="O82" s="75" t="s">
        <v>422</v>
      </c>
    </row>
    <row r="83" spans="1:15" ht="27" customHeight="1" x14ac:dyDescent="0.25">
      <c r="A83" s="316" t="s">
        <v>432</v>
      </c>
      <c r="B83" s="304" t="s">
        <v>800</v>
      </c>
      <c r="C83" s="83">
        <v>40</v>
      </c>
      <c r="D83" s="74">
        <v>42</v>
      </c>
      <c r="E83" s="62">
        <f>ROUND($D83*(1-INDEX(Table23[#All],MATCH($O83,Table23[[#All],[Discount Level]],0),MATCH(lettershopAddPricing[[#Headers],[≥ 5,000]],lettershopAddPricing[[#Headers],[≥ 1]:[≥ 150,000]],0))),2)</f>
        <v>38.85</v>
      </c>
      <c r="F83" s="62">
        <f>ROUND($D83*(1-INDEX(Table23[#All],MATCH($O83,Table23[[#All],[Discount Level]],0),MATCH(lettershopAddPricing[[#Headers],[≥ 10,000]],lettershopAddPricing[[#Headers],[≥ 1]:[≥ 150,000]],0))),2)</f>
        <v>36.75</v>
      </c>
      <c r="G83" s="62">
        <f>ROUND($D83*(1-INDEX(Table23[#All],MATCH($O83,Table23[[#All],[Discount Level]],0),MATCH(lettershopAddPricing[[#Headers],[≥ 15,000]],lettershopAddPricing[[#Headers],[≥ 1]:[≥ 150,000]],0))),2)</f>
        <v>34.65</v>
      </c>
      <c r="H83" s="62">
        <f>ROUND($D83*(1-INDEX(Table23[#All],MATCH($O83,Table23[[#All],[Discount Level]],0),MATCH(lettershopAddPricing[[#Headers],[≥ 20,000]],lettershopAddPricing[[#Headers],[≥ 1]:[≥ 150,000]],0))),2)</f>
        <v>33.6</v>
      </c>
      <c r="I83" s="62">
        <f>ROUND($D83*(1-INDEX(Table23[#All],MATCH($O83,Table23[[#All],[Discount Level]],0),MATCH(lettershopAddPricing[[#Headers],[≥ 25,000]],lettershopAddPricing[[#Headers],[≥ 1]:[≥ 150,000]],0))),2)</f>
        <v>31.5</v>
      </c>
      <c r="J83" s="62">
        <f>ROUND($D83*(1-INDEX(Table23[#All],MATCH($O83,Table23[[#All],[Discount Level]],0),MATCH(lettershopAddPricing[[#Headers],[≥ 35,000]],lettershopAddPricing[[#Headers],[≥ 1]:[≥ 150,000]],0))),2)</f>
        <v>29.4</v>
      </c>
      <c r="K83" s="62">
        <f>ROUND($D83*(1-INDEX(Table23[#All],MATCH($O83,Table23[[#All],[Discount Level]],0),MATCH(lettershopAddPricing[[#Headers],[≥ 50,000]],lettershopAddPricing[[#Headers],[≥ 1]:[≥ 150,000]],0))),2)</f>
        <v>27.3</v>
      </c>
      <c r="L83" s="62">
        <f>ROUND($D83*(1-INDEX(Table23[#All],MATCH($O83,Table23[[#All],[Discount Level]],0),MATCH(lettershopAddPricing[[#Headers],[≥ 75,000]],lettershopAddPricing[[#Headers],[≥ 1]:[≥ 150,000]],0))),2)</f>
        <v>25.2</v>
      </c>
      <c r="M83" s="62">
        <f>ROUND($D83*(1-INDEX(Table23[#All],MATCH($O83,Table23[[#All],[Discount Level]],0),MATCH(lettershopAddPricing[[#Headers],[≥ 100,000]],lettershopAddPricing[[#Headers],[≥ 1]:[≥ 150,000]],0))),2)</f>
        <v>24.15</v>
      </c>
      <c r="N83" s="62">
        <f>ROUND($D83*(1-INDEX(Table23[#All],MATCH($O83,Table23[[#All],[Discount Level]],0),MATCH(lettershopAddPricing[[#Headers],[≥ 150,000]],lettershopAddPricing[[#Headers],[≥ 1]:[≥ 150,000]],0))),2)</f>
        <v>23.1</v>
      </c>
      <c r="O83" s="76" t="s">
        <v>422</v>
      </c>
    </row>
    <row r="84" spans="1:15" ht="27" customHeight="1" x14ac:dyDescent="0.25">
      <c r="A84" s="316" t="s">
        <v>432</v>
      </c>
      <c r="B84" s="303" t="s">
        <v>801</v>
      </c>
      <c r="C84" s="82">
        <v>40</v>
      </c>
      <c r="D84" s="73">
        <v>60</v>
      </c>
      <c r="E84" s="62">
        <f>ROUND($D84*(1-INDEX(Table23[#All],MATCH($O84,Table23[[#All],[Discount Level]],0),MATCH(lettershopAddPricing[[#Headers],[≥ 5,000]],lettershopAddPricing[[#Headers],[≥ 1]:[≥ 150,000]],0))),2)</f>
        <v>55.5</v>
      </c>
      <c r="F84" s="62">
        <f>ROUND($D84*(1-INDEX(Table23[#All],MATCH($O84,Table23[[#All],[Discount Level]],0),MATCH(lettershopAddPricing[[#Headers],[≥ 10,000]],lettershopAddPricing[[#Headers],[≥ 1]:[≥ 150,000]],0))),2)</f>
        <v>52.5</v>
      </c>
      <c r="G84" s="62">
        <f>ROUND($D84*(1-INDEX(Table23[#All],MATCH($O84,Table23[[#All],[Discount Level]],0),MATCH(lettershopAddPricing[[#Headers],[≥ 15,000]],lettershopAddPricing[[#Headers],[≥ 1]:[≥ 150,000]],0))),2)</f>
        <v>49.5</v>
      </c>
      <c r="H84" s="62">
        <f>ROUND($D84*(1-INDEX(Table23[#All],MATCH($O84,Table23[[#All],[Discount Level]],0),MATCH(lettershopAddPricing[[#Headers],[≥ 20,000]],lettershopAddPricing[[#Headers],[≥ 1]:[≥ 150,000]],0))),2)</f>
        <v>48</v>
      </c>
      <c r="I84" s="62">
        <f>ROUND($D84*(1-INDEX(Table23[#All],MATCH($O84,Table23[[#All],[Discount Level]],0),MATCH(lettershopAddPricing[[#Headers],[≥ 25,000]],lettershopAddPricing[[#Headers],[≥ 1]:[≥ 150,000]],0))),2)</f>
        <v>45</v>
      </c>
      <c r="J84" s="62">
        <f>ROUND($D84*(1-INDEX(Table23[#All],MATCH($O84,Table23[[#All],[Discount Level]],0),MATCH(lettershopAddPricing[[#Headers],[≥ 35,000]],lettershopAddPricing[[#Headers],[≥ 1]:[≥ 150,000]],0))),2)</f>
        <v>42</v>
      </c>
      <c r="K84" s="62">
        <f>ROUND($D84*(1-INDEX(Table23[#All],MATCH($O84,Table23[[#All],[Discount Level]],0),MATCH(lettershopAddPricing[[#Headers],[≥ 50,000]],lettershopAddPricing[[#Headers],[≥ 1]:[≥ 150,000]],0))),2)</f>
        <v>39</v>
      </c>
      <c r="L84" s="62">
        <f>ROUND($D84*(1-INDEX(Table23[#All],MATCH($O84,Table23[[#All],[Discount Level]],0),MATCH(lettershopAddPricing[[#Headers],[≥ 75,000]],lettershopAddPricing[[#Headers],[≥ 1]:[≥ 150,000]],0))),2)</f>
        <v>36</v>
      </c>
      <c r="M84" s="62">
        <f>ROUND($D84*(1-INDEX(Table23[#All],MATCH($O84,Table23[[#All],[Discount Level]],0),MATCH(lettershopAddPricing[[#Headers],[≥ 100,000]],lettershopAddPricing[[#Headers],[≥ 1]:[≥ 150,000]],0))),2)</f>
        <v>34.5</v>
      </c>
      <c r="N84" s="62">
        <f>ROUND($D84*(1-INDEX(Table23[#All],MATCH($O84,Table23[[#All],[Discount Level]],0),MATCH(lettershopAddPricing[[#Headers],[≥ 150,000]],lettershopAddPricing[[#Headers],[≥ 1]:[≥ 150,000]],0))),2)</f>
        <v>33</v>
      </c>
      <c r="O84" s="75" t="s">
        <v>422</v>
      </c>
    </row>
    <row r="85" spans="1:15" ht="27" customHeight="1" x14ac:dyDescent="0.25">
      <c r="A85" s="316" t="s">
        <v>433</v>
      </c>
      <c r="B85" s="305" t="s">
        <v>802</v>
      </c>
      <c r="C85" s="84">
        <v>40</v>
      </c>
      <c r="D85" s="68">
        <v>42</v>
      </c>
      <c r="E85" s="62">
        <f>ROUND($D85*(1-INDEX(Table23[#All],MATCH($O85,Table23[[#All],[Discount Level]],0),MATCH(lettershopAddPricing[[#Headers],[≥ 5,000]],lettershopAddPricing[[#Headers],[≥ 1]:[≥ 150,000]],0))),2)</f>
        <v>38.85</v>
      </c>
      <c r="F85" s="62">
        <f>ROUND($D85*(1-INDEX(Table23[#All],MATCH($O85,Table23[[#All],[Discount Level]],0),MATCH(lettershopAddPricing[[#Headers],[≥ 10,000]],lettershopAddPricing[[#Headers],[≥ 1]:[≥ 150,000]],0))),2)</f>
        <v>36.75</v>
      </c>
      <c r="G85" s="62">
        <f>ROUND($D85*(1-INDEX(Table23[#All],MATCH($O85,Table23[[#All],[Discount Level]],0),MATCH(lettershopAddPricing[[#Headers],[≥ 15,000]],lettershopAddPricing[[#Headers],[≥ 1]:[≥ 150,000]],0))),2)</f>
        <v>34.65</v>
      </c>
      <c r="H85" s="62">
        <f>ROUND($D85*(1-INDEX(Table23[#All],MATCH($O85,Table23[[#All],[Discount Level]],0),MATCH(lettershopAddPricing[[#Headers],[≥ 20,000]],lettershopAddPricing[[#Headers],[≥ 1]:[≥ 150,000]],0))),2)</f>
        <v>33.6</v>
      </c>
      <c r="I85" s="62">
        <f>ROUND($D85*(1-INDEX(Table23[#All],MATCH($O85,Table23[[#All],[Discount Level]],0),MATCH(lettershopAddPricing[[#Headers],[≥ 25,000]],lettershopAddPricing[[#Headers],[≥ 1]:[≥ 150,000]],0))),2)</f>
        <v>31.5</v>
      </c>
      <c r="J85" s="62">
        <f>ROUND($D85*(1-INDEX(Table23[#All],MATCH($O85,Table23[[#All],[Discount Level]],0),MATCH(lettershopAddPricing[[#Headers],[≥ 35,000]],lettershopAddPricing[[#Headers],[≥ 1]:[≥ 150,000]],0))),2)</f>
        <v>29.4</v>
      </c>
      <c r="K85" s="62">
        <f>ROUND($D85*(1-INDEX(Table23[#All],MATCH($O85,Table23[[#All],[Discount Level]],0),MATCH(lettershopAddPricing[[#Headers],[≥ 50,000]],lettershopAddPricing[[#Headers],[≥ 1]:[≥ 150,000]],0))),2)</f>
        <v>27.3</v>
      </c>
      <c r="L85" s="62">
        <f>ROUND($D85*(1-INDEX(Table23[#All],MATCH($O85,Table23[[#All],[Discount Level]],0),MATCH(lettershopAddPricing[[#Headers],[≥ 75,000]],lettershopAddPricing[[#Headers],[≥ 1]:[≥ 150,000]],0))),2)</f>
        <v>25.2</v>
      </c>
      <c r="M85" s="62">
        <f>ROUND($D85*(1-INDEX(Table23[#All],MATCH($O85,Table23[[#All],[Discount Level]],0),MATCH(lettershopAddPricing[[#Headers],[≥ 100,000]],lettershopAddPricing[[#Headers],[≥ 1]:[≥ 150,000]],0))),2)</f>
        <v>24.15</v>
      </c>
      <c r="N85" s="62">
        <f>ROUND($D85*(1-INDEX(Table23[#All],MATCH($O85,Table23[[#All],[Discount Level]],0),MATCH(lettershopAddPricing[[#Headers],[≥ 150,000]],lettershopAddPricing[[#Headers],[≥ 1]:[≥ 150,000]],0))),2)</f>
        <v>23.1</v>
      </c>
      <c r="O85" s="66" t="s">
        <v>422</v>
      </c>
    </row>
    <row r="86" spans="1:15" ht="27" customHeight="1" x14ac:dyDescent="0.25">
      <c r="A86" s="316" t="s">
        <v>434</v>
      </c>
      <c r="B86" s="304" t="s">
        <v>803</v>
      </c>
      <c r="C86" s="83">
        <v>40</v>
      </c>
      <c r="D86" s="74">
        <v>49</v>
      </c>
      <c r="E86" s="62">
        <f>ROUND($D86*(1-INDEX(Table23[#All],MATCH($O86,Table23[[#All],[Discount Level]],0),MATCH(lettershopAddPricing[[#Headers],[≥ 5,000]],lettershopAddPricing[[#Headers],[≥ 1]:[≥ 150,000]],0))),2)</f>
        <v>36.75</v>
      </c>
      <c r="F86" s="62">
        <f>ROUND($D86*(1-INDEX(Table23[#All],MATCH($O86,Table23[[#All],[Discount Level]],0),MATCH(lettershopAddPricing[[#Headers],[≥ 10,000]],lettershopAddPricing[[#Headers],[≥ 1]:[≥ 150,000]],0))),2)</f>
        <v>35.53</v>
      </c>
      <c r="G86" s="62">
        <f>ROUND($D86*(1-INDEX(Table23[#All],MATCH($O86,Table23[[#All],[Discount Level]],0),MATCH(lettershopAddPricing[[#Headers],[≥ 15,000]],lettershopAddPricing[[#Headers],[≥ 1]:[≥ 150,000]],0))),2)</f>
        <v>34.299999999999997</v>
      </c>
      <c r="H86" s="62">
        <f>ROUND($D86*(1-INDEX(Table23[#All],MATCH($O86,Table23[[#All],[Discount Level]],0),MATCH(lettershopAddPricing[[#Headers],[≥ 20,000]],lettershopAddPricing[[#Headers],[≥ 1]:[≥ 150,000]],0))),2)</f>
        <v>31.85</v>
      </c>
      <c r="I86" s="62">
        <f>ROUND($D86*(1-INDEX(Table23[#All],MATCH($O86,Table23[[#All],[Discount Level]],0),MATCH(lettershopAddPricing[[#Headers],[≥ 25,000]],lettershopAddPricing[[#Headers],[≥ 1]:[≥ 150,000]],0))),2)</f>
        <v>29.4</v>
      </c>
      <c r="J86" s="62">
        <f>ROUND($D86*(1-INDEX(Table23[#All],MATCH($O86,Table23[[#All],[Discount Level]],0),MATCH(lettershopAddPricing[[#Headers],[≥ 35,000]],lettershopAddPricing[[#Headers],[≥ 1]:[≥ 150,000]],0))),2)</f>
        <v>26.95</v>
      </c>
      <c r="K86" s="62">
        <f>ROUND($D86*(1-INDEX(Table23[#All],MATCH($O86,Table23[[#All],[Discount Level]],0),MATCH(lettershopAddPricing[[#Headers],[≥ 50,000]],lettershopAddPricing[[#Headers],[≥ 1]:[≥ 150,000]],0))),2)</f>
        <v>24.5</v>
      </c>
      <c r="L86" s="62">
        <f>ROUND($D86*(1-INDEX(Table23[#All],MATCH($O86,Table23[[#All],[Discount Level]],0),MATCH(lettershopAddPricing[[#Headers],[≥ 75,000]],lettershopAddPricing[[#Headers],[≥ 1]:[≥ 150,000]],0))),2)</f>
        <v>22.05</v>
      </c>
      <c r="M86" s="62">
        <f>ROUND($D86*(1-INDEX(Table23[#All],MATCH($O86,Table23[[#All],[Discount Level]],0),MATCH(lettershopAddPricing[[#Headers],[≥ 100,000]],lettershopAddPricing[[#Headers],[≥ 1]:[≥ 150,000]],0))),2)</f>
        <v>20.83</v>
      </c>
      <c r="N86" s="62">
        <f>ROUND($D86*(1-INDEX(Table23[#All],MATCH($O86,Table23[[#All],[Discount Level]],0),MATCH(lettershopAddPricing[[#Headers],[≥ 150,000]],lettershopAddPricing[[#Headers],[≥ 1]:[≥ 150,000]],0))),2)</f>
        <v>19.600000000000001</v>
      </c>
      <c r="O86" s="66" t="s">
        <v>423</v>
      </c>
    </row>
    <row r="87" spans="1:15" ht="27" customHeight="1" x14ac:dyDescent="0.25">
      <c r="A87" s="316" t="s">
        <v>435</v>
      </c>
      <c r="B87" s="306" t="s">
        <v>804</v>
      </c>
      <c r="C87" s="85">
        <v>40</v>
      </c>
      <c r="D87" s="78">
        <v>50</v>
      </c>
      <c r="E87" s="62">
        <f>ROUND($D87*(1-INDEX(Table23[#All],MATCH($O87,Table23[[#All],[Discount Level]],0),MATCH(lettershopAddPricing[[#Headers],[≥ 5,000]],lettershopAddPricing[[#Headers],[≥ 1]:[≥ 150,000]],0))),2)</f>
        <v>37.5</v>
      </c>
      <c r="F87" s="62">
        <f>ROUND($D87*(1-INDEX(Table23[#All],MATCH($O87,Table23[[#All],[Discount Level]],0),MATCH(lettershopAddPricing[[#Headers],[≥ 10,000]],lettershopAddPricing[[#Headers],[≥ 1]:[≥ 150,000]],0))),2)</f>
        <v>36.25</v>
      </c>
      <c r="G87" s="62">
        <f>ROUND($D87*(1-INDEX(Table23[#All],MATCH($O87,Table23[[#All],[Discount Level]],0),MATCH(lettershopAddPricing[[#Headers],[≥ 15,000]],lettershopAddPricing[[#Headers],[≥ 1]:[≥ 150,000]],0))),2)</f>
        <v>35</v>
      </c>
      <c r="H87" s="62">
        <f>ROUND($D87*(1-INDEX(Table23[#All],MATCH($O87,Table23[[#All],[Discount Level]],0),MATCH(lettershopAddPricing[[#Headers],[≥ 20,000]],lettershopAddPricing[[#Headers],[≥ 1]:[≥ 150,000]],0))),2)</f>
        <v>32.5</v>
      </c>
      <c r="I87" s="62">
        <f>ROUND($D87*(1-INDEX(Table23[#All],MATCH($O87,Table23[[#All],[Discount Level]],0),MATCH(lettershopAddPricing[[#Headers],[≥ 25,000]],lettershopAddPricing[[#Headers],[≥ 1]:[≥ 150,000]],0))),2)</f>
        <v>30</v>
      </c>
      <c r="J87" s="62">
        <f>ROUND($D87*(1-INDEX(Table23[#All],MATCH($O87,Table23[[#All],[Discount Level]],0),MATCH(lettershopAddPricing[[#Headers],[≥ 35,000]],lettershopAddPricing[[#Headers],[≥ 1]:[≥ 150,000]],0))),2)</f>
        <v>27.5</v>
      </c>
      <c r="K87" s="62">
        <f>ROUND($D87*(1-INDEX(Table23[#All],MATCH($O87,Table23[[#All],[Discount Level]],0),MATCH(lettershopAddPricing[[#Headers],[≥ 50,000]],lettershopAddPricing[[#Headers],[≥ 1]:[≥ 150,000]],0))),2)</f>
        <v>25</v>
      </c>
      <c r="L87" s="62">
        <f>ROUND($D87*(1-INDEX(Table23[#All],MATCH($O87,Table23[[#All],[Discount Level]],0),MATCH(lettershopAddPricing[[#Headers],[≥ 75,000]],lettershopAddPricing[[#Headers],[≥ 1]:[≥ 150,000]],0))),2)</f>
        <v>22.5</v>
      </c>
      <c r="M87" s="62">
        <f>ROUND($D87*(1-INDEX(Table23[#All],MATCH($O87,Table23[[#All],[Discount Level]],0),MATCH(lettershopAddPricing[[#Headers],[≥ 100,000]],lettershopAddPricing[[#Headers],[≥ 1]:[≥ 150,000]],0))),2)</f>
        <v>21.25</v>
      </c>
      <c r="N87" s="62">
        <f>ROUND($D87*(1-INDEX(Table23[#All],MATCH($O87,Table23[[#All],[Discount Level]],0),MATCH(lettershopAddPricing[[#Headers],[≥ 150,000]],lettershopAddPricing[[#Headers],[≥ 1]:[≥ 150,000]],0))),2)</f>
        <v>20</v>
      </c>
      <c r="O87" s="66" t="s">
        <v>423</v>
      </c>
    </row>
    <row r="88" spans="1:15" ht="27" customHeight="1" x14ac:dyDescent="0.25">
      <c r="A88" s="316" t="s">
        <v>436</v>
      </c>
      <c r="B88" s="306" t="s">
        <v>805</v>
      </c>
      <c r="C88" s="85">
        <v>45</v>
      </c>
      <c r="D88" s="78">
        <v>54</v>
      </c>
      <c r="E88" s="62">
        <f>ROUND($D88*(1-INDEX(Table23[#All],MATCH($O88,Table23[[#All],[Discount Level]],0),MATCH(lettershopAddPricing[[#Headers],[≥ 5,000]],lettershopAddPricing[[#Headers],[≥ 1]:[≥ 150,000]],0))),2)</f>
        <v>49.95</v>
      </c>
      <c r="F88" s="62">
        <f>ROUND($D88*(1-INDEX(Table23[#All],MATCH($O88,Table23[[#All],[Discount Level]],0),MATCH(lettershopAddPricing[[#Headers],[≥ 10,000]],lettershopAddPricing[[#Headers],[≥ 1]:[≥ 150,000]],0))),2)</f>
        <v>47.25</v>
      </c>
      <c r="G88" s="62">
        <f>ROUND($D88*(1-INDEX(Table23[#All],MATCH($O88,Table23[[#All],[Discount Level]],0),MATCH(lettershopAddPricing[[#Headers],[≥ 15,000]],lettershopAddPricing[[#Headers],[≥ 1]:[≥ 150,000]],0))),2)</f>
        <v>44.55</v>
      </c>
      <c r="H88" s="62">
        <f>ROUND($D88*(1-INDEX(Table23[#All],MATCH($O88,Table23[[#All],[Discount Level]],0),MATCH(lettershopAddPricing[[#Headers],[≥ 20,000]],lettershopAddPricing[[#Headers],[≥ 1]:[≥ 150,000]],0))),2)</f>
        <v>43.2</v>
      </c>
      <c r="I88" s="62">
        <f>ROUND($D88*(1-INDEX(Table23[#All],MATCH($O88,Table23[[#All],[Discount Level]],0),MATCH(lettershopAddPricing[[#Headers],[≥ 25,000]],lettershopAddPricing[[#Headers],[≥ 1]:[≥ 150,000]],0))),2)</f>
        <v>40.5</v>
      </c>
      <c r="J88" s="62">
        <f>ROUND($D88*(1-INDEX(Table23[#All],MATCH($O88,Table23[[#All],[Discount Level]],0),MATCH(lettershopAddPricing[[#Headers],[≥ 35,000]],lettershopAddPricing[[#Headers],[≥ 1]:[≥ 150,000]],0))),2)</f>
        <v>37.799999999999997</v>
      </c>
      <c r="K88" s="62">
        <f>ROUND($D88*(1-INDEX(Table23[#All],MATCH($O88,Table23[[#All],[Discount Level]],0),MATCH(lettershopAddPricing[[#Headers],[≥ 50,000]],lettershopAddPricing[[#Headers],[≥ 1]:[≥ 150,000]],0))),2)</f>
        <v>35.1</v>
      </c>
      <c r="L88" s="62">
        <f>ROUND($D88*(1-INDEX(Table23[#All],MATCH($O88,Table23[[#All],[Discount Level]],0),MATCH(lettershopAddPricing[[#Headers],[≥ 75,000]],lettershopAddPricing[[#Headers],[≥ 1]:[≥ 150,000]],0))),2)</f>
        <v>32.4</v>
      </c>
      <c r="M88" s="62">
        <f>ROUND($D88*(1-INDEX(Table23[#All],MATCH($O88,Table23[[#All],[Discount Level]],0),MATCH(lettershopAddPricing[[#Headers],[≥ 100,000]],lettershopAddPricing[[#Headers],[≥ 1]:[≥ 150,000]],0))),2)</f>
        <v>31.05</v>
      </c>
      <c r="N88" s="62">
        <f>ROUND($D88*(1-INDEX(Table23[#All],MATCH($O88,Table23[[#All],[Discount Level]],0),MATCH(lettershopAddPricing[[#Headers],[≥ 150,000]],lettershopAddPricing[[#Headers],[≥ 1]:[≥ 150,000]],0))),2)</f>
        <v>29.7</v>
      </c>
      <c r="O88" s="66" t="s">
        <v>422</v>
      </c>
    </row>
    <row r="89" spans="1:15" ht="27" customHeight="1" x14ac:dyDescent="0.25">
      <c r="A89" s="316" t="s">
        <v>436</v>
      </c>
      <c r="B89" s="306" t="s">
        <v>806</v>
      </c>
      <c r="C89" s="85">
        <v>45</v>
      </c>
      <c r="D89" s="78">
        <v>59</v>
      </c>
      <c r="E89" s="62">
        <f>ROUND($D89*(1-INDEX(Table23[#All],MATCH($O89,Table23[[#All],[Discount Level]],0),MATCH(lettershopAddPricing[[#Headers],[≥ 5,000]],lettershopAddPricing[[#Headers],[≥ 1]:[≥ 150,000]],0))),2)</f>
        <v>54.58</v>
      </c>
      <c r="F89" s="62">
        <f>ROUND($D89*(1-INDEX(Table23[#All],MATCH($O89,Table23[[#All],[Discount Level]],0),MATCH(lettershopAddPricing[[#Headers],[≥ 10,000]],lettershopAddPricing[[#Headers],[≥ 1]:[≥ 150,000]],0))),2)</f>
        <v>51.63</v>
      </c>
      <c r="G89" s="62">
        <f>ROUND($D89*(1-INDEX(Table23[#All],MATCH($O89,Table23[[#All],[Discount Level]],0),MATCH(lettershopAddPricing[[#Headers],[≥ 15,000]],lettershopAddPricing[[#Headers],[≥ 1]:[≥ 150,000]],0))),2)</f>
        <v>48.68</v>
      </c>
      <c r="H89" s="62">
        <f>ROUND($D89*(1-INDEX(Table23[#All],MATCH($O89,Table23[[#All],[Discount Level]],0),MATCH(lettershopAddPricing[[#Headers],[≥ 20,000]],lettershopAddPricing[[#Headers],[≥ 1]:[≥ 150,000]],0))),2)</f>
        <v>47.2</v>
      </c>
      <c r="I89" s="62">
        <f>ROUND($D89*(1-INDEX(Table23[#All],MATCH($O89,Table23[[#All],[Discount Level]],0),MATCH(lettershopAddPricing[[#Headers],[≥ 25,000]],lettershopAddPricing[[#Headers],[≥ 1]:[≥ 150,000]],0))),2)</f>
        <v>44.25</v>
      </c>
      <c r="J89" s="62">
        <f>ROUND($D89*(1-INDEX(Table23[#All],MATCH($O89,Table23[[#All],[Discount Level]],0),MATCH(lettershopAddPricing[[#Headers],[≥ 35,000]],lettershopAddPricing[[#Headers],[≥ 1]:[≥ 150,000]],0))),2)</f>
        <v>41.3</v>
      </c>
      <c r="K89" s="62">
        <f>ROUND($D89*(1-INDEX(Table23[#All],MATCH($O89,Table23[[#All],[Discount Level]],0),MATCH(lettershopAddPricing[[#Headers],[≥ 50,000]],lettershopAddPricing[[#Headers],[≥ 1]:[≥ 150,000]],0))),2)</f>
        <v>38.35</v>
      </c>
      <c r="L89" s="62">
        <f>ROUND($D89*(1-INDEX(Table23[#All],MATCH($O89,Table23[[#All],[Discount Level]],0),MATCH(lettershopAddPricing[[#Headers],[≥ 75,000]],lettershopAddPricing[[#Headers],[≥ 1]:[≥ 150,000]],0))),2)</f>
        <v>35.4</v>
      </c>
      <c r="M89" s="62">
        <f>ROUND($D89*(1-INDEX(Table23[#All],MATCH($O89,Table23[[#All],[Discount Level]],0),MATCH(lettershopAddPricing[[#Headers],[≥ 100,000]],lettershopAddPricing[[#Headers],[≥ 1]:[≥ 150,000]],0))),2)</f>
        <v>33.93</v>
      </c>
      <c r="N89" s="62">
        <f>ROUND($D89*(1-INDEX(Table23[#All],MATCH($O89,Table23[[#All],[Discount Level]],0),MATCH(lettershopAddPricing[[#Headers],[≥ 150,000]],lettershopAddPricing[[#Headers],[≥ 1]:[≥ 150,000]],0))),2)</f>
        <v>32.450000000000003</v>
      </c>
      <c r="O89" s="66" t="s">
        <v>422</v>
      </c>
    </row>
    <row r="90" spans="1:15" ht="27" customHeight="1" x14ac:dyDescent="0.25">
      <c r="A90" s="316" t="s">
        <v>436</v>
      </c>
      <c r="B90" s="306" t="s">
        <v>807</v>
      </c>
      <c r="C90" s="85">
        <v>50</v>
      </c>
      <c r="D90" s="78">
        <v>71.5</v>
      </c>
      <c r="E90" s="62">
        <f>ROUND($D90*(1-INDEX(Table23[#All],MATCH($O90,Table23[[#All],[Discount Level]],0),MATCH(lettershopAddPricing[[#Headers],[≥ 5,000]],lettershopAddPricing[[#Headers],[≥ 1]:[≥ 150,000]],0))),2)</f>
        <v>66.14</v>
      </c>
      <c r="F90" s="62">
        <f>ROUND($D90*(1-INDEX(Table23[#All],MATCH($O90,Table23[[#All],[Discount Level]],0),MATCH(lettershopAddPricing[[#Headers],[≥ 10,000]],lettershopAddPricing[[#Headers],[≥ 1]:[≥ 150,000]],0))),2)</f>
        <v>62.56</v>
      </c>
      <c r="G90" s="62">
        <f>ROUND($D90*(1-INDEX(Table23[#All],MATCH($O90,Table23[[#All],[Discount Level]],0),MATCH(lettershopAddPricing[[#Headers],[≥ 15,000]],lettershopAddPricing[[#Headers],[≥ 1]:[≥ 150,000]],0))),2)</f>
        <v>58.99</v>
      </c>
      <c r="H90" s="62">
        <f>ROUND($D90*(1-INDEX(Table23[#All],MATCH($O90,Table23[[#All],[Discount Level]],0),MATCH(lettershopAddPricing[[#Headers],[≥ 20,000]],lettershopAddPricing[[#Headers],[≥ 1]:[≥ 150,000]],0))),2)</f>
        <v>57.2</v>
      </c>
      <c r="I90" s="62">
        <f>ROUND($D90*(1-INDEX(Table23[#All],MATCH($O90,Table23[[#All],[Discount Level]],0),MATCH(lettershopAddPricing[[#Headers],[≥ 25,000]],lettershopAddPricing[[#Headers],[≥ 1]:[≥ 150,000]],0))),2)</f>
        <v>53.63</v>
      </c>
      <c r="J90" s="62">
        <f>ROUND($D90*(1-INDEX(Table23[#All],MATCH($O90,Table23[[#All],[Discount Level]],0),MATCH(lettershopAddPricing[[#Headers],[≥ 35,000]],lettershopAddPricing[[#Headers],[≥ 1]:[≥ 150,000]],0))),2)</f>
        <v>50.05</v>
      </c>
      <c r="K90" s="62">
        <f>ROUND($D90*(1-INDEX(Table23[#All],MATCH($O90,Table23[[#All],[Discount Level]],0),MATCH(lettershopAddPricing[[#Headers],[≥ 50,000]],lettershopAddPricing[[#Headers],[≥ 1]:[≥ 150,000]],0))),2)</f>
        <v>46.48</v>
      </c>
      <c r="L90" s="62">
        <f>ROUND($D90*(1-INDEX(Table23[#All],MATCH($O90,Table23[[#All],[Discount Level]],0),MATCH(lettershopAddPricing[[#Headers],[≥ 75,000]],lettershopAddPricing[[#Headers],[≥ 1]:[≥ 150,000]],0))),2)</f>
        <v>42.9</v>
      </c>
      <c r="M90" s="62">
        <f>ROUND($D90*(1-INDEX(Table23[#All],MATCH($O90,Table23[[#All],[Discount Level]],0),MATCH(lettershopAddPricing[[#Headers],[≥ 100,000]],lettershopAddPricing[[#Headers],[≥ 1]:[≥ 150,000]],0))),2)</f>
        <v>41.11</v>
      </c>
      <c r="N90" s="62">
        <f>ROUND($D90*(1-INDEX(Table23[#All],MATCH($O90,Table23[[#All],[Discount Level]],0),MATCH(lettershopAddPricing[[#Headers],[≥ 150,000]],lettershopAddPricing[[#Headers],[≥ 1]:[≥ 150,000]],0))),2)</f>
        <v>39.33</v>
      </c>
      <c r="O90" s="66" t="s">
        <v>422</v>
      </c>
    </row>
    <row r="91" spans="1:15" ht="27" customHeight="1" x14ac:dyDescent="0.25">
      <c r="A91" s="316" t="s">
        <v>436</v>
      </c>
      <c r="B91" s="306" t="s">
        <v>808</v>
      </c>
      <c r="C91" s="85">
        <v>45</v>
      </c>
      <c r="D91" s="78">
        <v>70.5</v>
      </c>
      <c r="E91" s="62">
        <f>ROUND($D91*(1-INDEX(Table23[#All],MATCH($O91,Table23[[#All],[Discount Level]],0),MATCH(lettershopAddPricing[[#Headers],[≥ 5,000]],lettershopAddPricing[[#Headers],[≥ 1]:[≥ 150,000]],0))),2)</f>
        <v>65.209999999999994</v>
      </c>
      <c r="F91" s="62">
        <f>ROUND($D91*(1-INDEX(Table23[#All],MATCH($O91,Table23[[#All],[Discount Level]],0),MATCH(lettershopAddPricing[[#Headers],[≥ 10,000]],lettershopAddPricing[[#Headers],[≥ 1]:[≥ 150,000]],0))),2)</f>
        <v>61.69</v>
      </c>
      <c r="G91" s="62">
        <f>ROUND($D91*(1-INDEX(Table23[#All],MATCH($O91,Table23[[#All],[Discount Level]],0),MATCH(lettershopAddPricing[[#Headers],[≥ 15,000]],lettershopAddPricing[[#Headers],[≥ 1]:[≥ 150,000]],0))),2)</f>
        <v>58.16</v>
      </c>
      <c r="H91" s="62">
        <f>ROUND($D91*(1-INDEX(Table23[#All],MATCH($O91,Table23[[#All],[Discount Level]],0),MATCH(lettershopAddPricing[[#Headers],[≥ 20,000]],lettershopAddPricing[[#Headers],[≥ 1]:[≥ 150,000]],0))),2)</f>
        <v>56.4</v>
      </c>
      <c r="I91" s="62">
        <f>ROUND($D91*(1-INDEX(Table23[#All],MATCH($O91,Table23[[#All],[Discount Level]],0),MATCH(lettershopAddPricing[[#Headers],[≥ 25,000]],lettershopAddPricing[[#Headers],[≥ 1]:[≥ 150,000]],0))),2)</f>
        <v>52.88</v>
      </c>
      <c r="J91" s="62">
        <f>ROUND($D91*(1-INDEX(Table23[#All],MATCH($O91,Table23[[#All],[Discount Level]],0),MATCH(lettershopAddPricing[[#Headers],[≥ 35,000]],lettershopAddPricing[[#Headers],[≥ 1]:[≥ 150,000]],0))),2)</f>
        <v>49.35</v>
      </c>
      <c r="K91" s="62">
        <f>ROUND($D91*(1-INDEX(Table23[#All],MATCH($O91,Table23[[#All],[Discount Level]],0),MATCH(lettershopAddPricing[[#Headers],[≥ 50,000]],lettershopAddPricing[[#Headers],[≥ 1]:[≥ 150,000]],0))),2)</f>
        <v>45.83</v>
      </c>
      <c r="L91" s="62">
        <f>ROUND($D91*(1-INDEX(Table23[#All],MATCH($O91,Table23[[#All],[Discount Level]],0),MATCH(lettershopAddPricing[[#Headers],[≥ 75,000]],lettershopAddPricing[[#Headers],[≥ 1]:[≥ 150,000]],0))),2)</f>
        <v>42.3</v>
      </c>
      <c r="M91" s="62">
        <f>ROUND($D91*(1-INDEX(Table23[#All],MATCH($O91,Table23[[#All],[Discount Level]],0),MATCH(lettershopAddPricing[[#Headers],[≥ 100,000]],lettershopAddPricing[[#Headers],[≥ 1]:[≥ 150,000]],0))),2)</f>
        <v>40.54</v>
      </c>
      <c r="N91" s="62">
        <f>ROUND($D91*(1-INDEX(Table23[#All],MATCH($O91,Table23[[#All],[Discount Level]],0),MATCH(lettershopAddPricing[[#Headers],[≥ 150,000]],lettershopAddPricing[[#Headers],[≥ 1]:[≥ 150,000]],0))),2)</f>
        <v>38.78</v>
      </c>
      <c r="O91" s="66" t="s">
        <v>422</v>
      </c>
    </row>
    <row r="92" spans="1:15" ht="27" customHeight="1" x14ac:dyDescent="0.25">
      <c r="A92" s="316" t="s">
        <v>436</v>
      </c>
      <c r="B92" s="306" t="s">
        <v>809</v>
      </c>
      <c r="C92" s="85">
        <v>50</v>
      </c>
      <c r="D92" s="78">
        <v>71.5</v>
      </c>
      <c r="E92" s="62">
        <f>ROUND($D92*(1-INDEX(Table23[#All],MATCH($O92,Table23[[#All],[Discount Level]],0),MATCH(lettershopAddPricing[[#Headers],[≥ 5,000]],lettershopAddPricing[[#Headers],[≥ 1]:[≥ 150,000]],0))),2)</f>
        <v>66.14</v>
      </c>
      <c r="F92" s="62">
        <f>ROUND($D92*(1-INDEX(Table23[#All],MATCH($O92,Table23[[#All],[Discount Level]],0),MATCH(lettershopAddPricing[[#Headers],[≥ 10,000]],lettershopAddPricing[[#Headers],[≥ 1]:[≥ 150,000]],0))),2)</f>
        <v>62.56</v>
      </c>
      <c r="G92" s="62">
        <f>ROUND($D92*(1-INDEX(Table23[#All],MATCH($O92,Table23[[#All],[Discount Level]],0),MATCH(lettershopAddPricing[[#Headers],[≥ 15,000]],lettershopAddPricing[[#Headers],[≥ 1]:[≥ 150,000]],0))),2)</f>
        <v>58.99</v>
      </c>
      <c r="H92" s="62">
        <f>ROUND($D92*(1-INDEX(Table23[#All],MATCH($O92,Table23[[#All],[Discount Level]],0),MATCH(lettershopAddPricing[[#Headers],[≥ 20,000]],lettershopAddPricing[[#Headers],[≥ 1]:[≥ 150,000]],0))),2)</f>
        <v>57.2</v>
      </c>
      <c r="I92" s="62">
        <f>ROUND($D92*(1-INDEX(Table23[#All],MATCH($O92,Table23[[#All],[Discount Level]],0),MATCH(lettershopAddPricing[[#Headers],[≥ 25,000]],lettershopAddPricing[[#Headers],[≥ 1]:[≥ 150,000]],0))),2)</f>
        <v>53.63</v>
      </c>
      <c r="J92" s="62">
        <f>ROUND($D92*(1-INDEX(Table23[#All],MATCH($O92,Table23[[#All],[Discount Level]],0),MATCH(lettershopAddPricing[[#Headers],[≥ 35,000]],lettershopAddPricing[[#Headers],[≥ 1]:[≥ 150,000]],0))),2)</f>
        <v>50.05</v>
      </c>
      <c r="K92" s="62">
        <f>ROUND($D92*(1-INDEX(Table23[#All],MATCH($O92,Table23[[#All],[Discount Level]],0),MATCH(lettershopAddPricing[[#Headers],[≥ 50,000]],lettershopAddPricing[[#Headers],[≥ 1]:[≥ 150,000]],0))),2)</f>
        <v>46.48</v>
      </c>
      <c r="L92" s="62">
        <f>ROUND($D92*(1-INDEX(Table23[#All],MATCH($O92,Table23[[#All],[Discount Level]],0),MATCH(lettershopAddPricing[[#Headers],[≥ 75,000]],lettershopAddPricing[[#Headers],[≥ 1]:[≥ 150,000]],0))),2)</f>
        <v>42.9</v>
      </c>
      <c r="M92" s="62">
        <f>ROUND($D92*(1-INDEX(Table23[#All],MATCH($O92,Table23[[#All],[Discount Level]],0),MATCH(lettershopAddPricing[[#Headers],[≥ 100,000]],lettershopAddPricing[[#Headers],[≥ 1]:[≥ 150,000]],0))),2)</f>
        <v>41.11</v>
      </c>
      <c r="N92" s="62">
        <f>ROUND($D92*(1-INDEX(Table23[#All],MATCH($O92,Table23[[#All],[Discount Level]],0),MATCH(lettershopAddPricing[[#Headers],[≥ 150,000]],lettershopAddPricing[[#Headers],[≥ 1]:[≥ 150,000]],0))),2)</f>
        <v>39.33</v>
      </c>
      <c r="O92" s="66" t="s">
        <v>422</v>
      </c>
    </row>
    <row r="93" spans="1:15" ht="27" customHeight="1" x14ac:dyDescent="0.25">
      <c r="A93" s="316" t="s">
        <v>436</v>
      </c>
      <c r="B93" s="306" t="s">
        <v>810</v>
      </c>
      <c r="C93" s="85">
        <v>45</v>
      </c>
      <c r="D93" s="78">
        <v>61</v>
      </c>
      <c r="E93" s="62">
        <f>ROUND($D93*(1-INDEX(Table23[#All],MATCH($O93,Table23[[#All],[Discount Level]],0),MATCH(lettershopAddPricing[[#Headers],[≥ 5,000]],lettershopAddPricing[[#Headers],[≥ 1]:[≥ 150,000]],0))),2)</f>
        <v>56.43</v>
      </c>
      <c r="F93" s="62">
        <f>ROUND($D93*(1-INDEX(Table23[#All],MATCH($O93,Table23[[#All],[Discount Level]],0),MATCH(lettershopAddPricing[[#Headers],[≥ 10,000]],lettershopAddPricing[[#Headers],[≥ 1]:[≥ 150,000]],0))),2)</f>
        <v>53.38</v>
      </c>
      <c r="G93" s="62">
        <f>ROUND($D93*(1-INDEX(Table23[#All],MATCH($O93,Table23[[#All],[Discount Level]],0),MATCH(lettershopAddPricing[[#Headers],[≥ 15,000]],lettershopAddPricing[[#Headers],[≥ 1]:[≥ 150,000]],0))),2)</f>
        <v>50.33</v>
      </c>
      <c r="H93" s="62">
        <f>ROUND($D93*(1-INDEX(Table23[#All],MATCH($O93,Table23[[#All],[Discount Level]],0),MATCH(lettershopAddPricing[[#Headers],[≥ 20,000]],lettershopAddPricing[[#Headers],[≥ 1]:[≥ 150,000]],0))),2)</f>
        <v>48.8</v>
      </c>
      <c r="I93" s="62">
        <f>ROUND($D93*(1-INDEX(Table23[#All],MATCH($O93,Table23[[#All],[Discount Level]],0),MATCH(lettershopAddPricing[[#Headers],[≥ 25,000]],lettershopAddPricing[[#Headers],[≥ 1]:[≥ 150,000]],0))),2)</f>
        <v>45.75</v>
      </c>
      <c r="J93" s="62">
        <f>ROUND($D93*(1-INDEX(Table23[#All],MATCH($O93,Table23[[#All],[Discount Level]],0),MATCH(lettershopAddPricing[[#Headers],[≥ 35,000]],lettershopAddPricing[[#Headers],[≥ 1]:[≥ 150,000]],0))),2)</f>
        <v>42.7</v>
      </c>
      <c r="K93" s="62">
        <f>ROUND($D93*(1-INDEX(Table23[#All],MATCH($O93,Table23[[#All],[Discount Level]],0),MATCH(lettershopAddPricing[[#Headers],[≥ 50,000]],lettershopAddPricing[[#Headers],[≥ 1]:[≥ 150,000]],0))),2)</f>
        <v>39.65</v>
      </c>
      <c r="L93" s="62">
        <f>ROUND($D93*(1-INDEX(Table23[#All],MATCH($O93,Table23[[#All],[Discount Level]],0),MATCH(lettershopAddPricing[[#Headers],[≥ 75,000]],lettershopAddPricing[[#Headers],[≥ 1]:[≥ 150,000]],0))),2)</f>
        <v>36.6</v>
      </c>
      <c r="M93" s="62">
        <f>ROUND($D93*(1-INDEX(Table23[#All],MATCH($O93,Table23[[#All],[Discount Level]],0),MATCH(lettershopAddPricing[[#Headers],[≥ 100,000]],lettershopAddPricing[[#Headers],[≥ 1]:[≥ 150,000]],0))),2)</f>
        <v>35.08</v>
      </c>
      <c r="N93" s="62">
        <f>ROUND($D93*(1-INDEX(Table23[#All],MATCH($O93,Table23[[#All],[Discount Level]],0),MATCH(lettershopAddPricing[[#Headers],[≥ 150,000]],lettershopAddPricing[[#Headers],[≥ 1]:[≥ 150,000]],0))),2)</f>
        <v>33.549999999999997</v>
      </c>
      <c r="O93" s="66" t="s">
        <v>422</v>
      </c>
    </row>
    <row r="94" spans="1:15" ht="27" customHeight="1" x14ac:dyDescent="0.25">
      <c r="A94" s="316" t="s">
        <v>436</v>
      </c>
      <c r="B94" s="306" t="s">
        <v>811</v>
      </c>
      <c r="C94" s="85">
        <v>50</v>
      </c>
      <c r="D94" s="78">
        <v>81.5</v>
      </c>
      <c r="E94" s="62">
        <f>ROUND($D94*(1-INDEX(Table23[#All],MATCH($O94,Table23[[#All],[Discount Level]],0),MATCH(lettershopAddPricing[[#Headers],[≥ 5,000]],lettershopAddPricing[[#Headers],[≥ 1]:[≥ 150,000]],0))),2)</f>
        <v>75.39</v>
      </c>
      <c r="F94" s="62">
        <f>ROUND($D94*(1-INDEX(Table23[#All],MATCH($O94,Table23[[#All],[Discount Level]],0),MATCH(lettershopAddPricing[[#Headers],[≥ 10,000]],lettershopAddPricing[[#Headers],[≥ 1]:[≥ 150,000]],0))),2)</f>
        <v>71.31</v>
      </c>
      <c r="G94" s="62">
        <f>ROUND($D94*(1-INDEX(Table23[#All],MATCH($O94,Table23[[#All],[Discount Level]],0),MATCH(lettershopAddPricing[[#Headers],[≥ 15,000]],lettershopAddPricing[[#Headers],[≥ 1]:[≥ 150,000]],0))),2)</f>
        <v>67.239999999999995</v>
      </c>
      <c r="H94" s="62">
        <f>ROUND($D94*(1-INDEX(Table23[#All],MATCH($O94,Table23[[#All],[Discount Level]],0),MATCH(lettershopAddPricing[[#Headers],[≥ 20,000]],lettershopAddPricing[[#Headers],[≥ 1]:[≥ 150,000]],0))),2)</f>
        <v>65.2</v>
      </c>
      <c r="I94" s="62">
        <f>ROUND($D94*(1-INDEX(Table23[#All],MATCH($O94,Table23[[#All],[Discount Level]],0),MATCH(lettershopAddPricing[[#Headers],[≥ 25,000]],lettershopAddPricing[[#Headers],[≥ 1]:[≥ 150,000]],0))),2)</f>
        <v>61.13</v>
      </c>
      <c r="J94" s="62">
        <f>ROUND($D94*(1-INDEX(Table23[#All],MATCH($O94,Table23[[#All],[Discount Level]],0),MATCH(lettershopAddPricing[[#Headers],[≥ 35,000]],lettershopAddPricing[[#Headers],[≥ 1]:[≥ 150,000]],0))),2)</f>
        <v>57.05</v>
      </c>
      <c r="K94" s="62">
        <f>ROUND($D94*(1-INDEX(Table23[#All],MATCH($O94,Table23[[#All],[Discount Level]],0),MATCH(lettershopAddPricing[[#Headers],[≥ 50,000]],lettershopAddPricing[[#Headers],[≥ 1]:[≥ 150,000]],0))),2)</f>
        <v>52.98</v>
      </c>
      <c r="L94" s="62">
        <f>ROUND($D94*(1-INDEX(Table23[#All],MATCH($O94,Table23[[#All],[Discount Level]],0),MATCH(lettershopAddPricing[[#Headers],[≥ 75,000]],lettershopAddPricing[[#Headers],[≥ 1]:[≥ 150,000]],0))),2)</f>
        <v>48.9</v>
      </c>
      <c r="M94" s="62">
        <f>ROUND($D94*(1-INDEX(Table23[#All],MATCH($O94,Table23[[#All],[Discount Level]],0),MATCH(lettershopAddPricing[[#Headers],[≥ 100,000]],lettershopAddPricing[[#Headers],[≥ 1]:[≥ 150,000]],0))),2)</f>
        <v>46.86</v>
      </c>
      <c r="N94" s="62">
        <f>ROUND($D94*(1-INDEX(Table23[#All],MATCH($O94,Table23[[#All],[Discount Level]],0),MATCH(lettershopAddPricing[[#Headers],[≥ 150,000]],lettershopAddPricing[[#Headers],[≥ 1]:[≥ 150,000]],0))),2)</f>
        <v>44.83</v>
      </c>
      <c r="O94" s="66" t="s">
        <v>422</v>
      </c>
    </row>
    <row r="95" spans="1:15" ht="27" customHeight="1" x14ac:dyDescent="0.25">
      <c r="A95" s="316" t="s">
        <v>436</v>
      </c>
      <c r="B95" s="306" t="s">
        <v>812</v>
      </c>
      <c r="C95" s="85">
        <v>50</v>
      </c>
      <c r="D95" s="78">
        <v>70.5</v>
      </c>
      <c r="E95" s="62">
        <f>ROUND($D95*(1-INDEX(Table23[#All],MATCH($O95,Table23[[#All],[Discount Level]],0),MATCH(lettershopAddPricing[[#Headers],[≥ 5,000]],lettershopAddPricing[[#Headers],[≥ 1]:[≥ 150,000]],0))),2)</f>
        <v>65.209999999999994</v>
      </c>
      <c r="F95" s="62">
        <f>ROUND($D95*(1-INDEX(Table23[#All],MATCH($O95,Table23[[#All],[Discount Level]],0),MATCH(lettershopAddPricing[[#Headers],[≥ 10,000]],lettershopAddPricing[[#Headers],[≥ 1]:[≥ 150,000]],0))),2)</f>
        <v>61.69</v>
      </c>
      <c r="G95" s="62">
        <f>ROUND($D95*(1-INDEX(Table23[#All],MATCH($O95,Table23[[#All],[Discount Level]],0),MATCH(lettershopAddPricing[[#Headers],[≥ 15,000]],lettershopAddPricing[[#Headers],[≥ 1]:[≥ 150,000]],0))),2)</f>
        <v>58.16</v>
      </c>
      <c r="H95" s="62">
        <f>ROUND($D95*(1-INDEX(Table23[#All],MATCH($O95,Table23[[#All],[Discount Level]],0),MATCH(lettershopAddPricing[[#Headers],[≥ 20,000]],lettershopAddPricing[[#Headers],[≥ 1]:[≥ 150,000]],0))),2)</f>
        <v>56.4</v>
      </c>
      <c r="I95" s="62">
        <f>ROUND($D95*(1-INDEX(Table23[#All],MATCH($O95,Table23[[#All],[Discount Level]],0),MATCH(lettershopAddPricing[[#Headers],[≥ 25,000]],lettershopAddPricing[[#Headers],[≥ 1]:[≥ 150,000]],0))),2)</f>
        <v>52.88</v>
      </c>
      <c r="J95" s="62">
        <f>ROUND($D95*(1-INDEX(Table23[#All],MATCH($O95,Table23[[#All],[Discount Level]],0),MATCH(lettershopAddPricing[[#Headers],[≥ 35,000]],lettershopAddPricing[[#Headers],[≥ 1]:[≥ 150,000]],0))),2)</f>
        <v>49.35</v>
      </c>
      <c r="K95" s="62">
        <f>ROUND($D95*(1-INDEX(Table23[#All],MATCH($O95,Table23[[#All],[Discount Level]],0),MATCH(lettershopAddPricing[[#Headers],[≥ 50,000]],lettershopAddPricing[[#Headers],[≥ 1]:[≥ 150,000]],0))),2)</f>
        <v>45.83</v>
      </c>
      <c r="L95" s="62">
        <f>ROUND($D95*(1-INDEX(Table23[#All],MATCH($O95,Table23[[#All],[Discount Level]],0),MATCH(lettershopAddPricing[[#Headers],[≥ 75,000]],lettershopAddPricing[[#Headers],[≥ 1]:[≥ 150,000]],0))),2)</f>
        <v>42.3</v>
      </c>
      <c r="M95" s="62">
        <f>ROUND($D95*(1-INDEX(Table23[#All],MATCH($O95,Table23[[#All],[Discount Level]],0),MATCH(lettershopAddPricing[[#Headers],[≥ 100,000]],lettershopAddPricing[[#Headers],[≥ 1]:[≥ 150,000]],0))),2)</f>
        <v>40.54</v>
      </c>
      <c r="N95" s="62">
        <f>ROUND($D95*(1-INDEX(Table23[#All],MATCH($O95,Table23[[#All],[Discount Level]],0),MATCH(lettershopAddPricing[[#Headers],[≥ 150,000]],lettershopAddPricing[[#Headers],[≥ 1]:[≥ 150,000]],0))),2)</f>
        <v>38.78</v>
      </c>
      <c r="O95" s="66" t="s">
        <v>422</v>
      </c>
    </row>
    <row r="96" spans="1:15" ht="27" customHeight="1" x14ac:dyDescent="0.25">
      <c r="A96" s="316" t="s">
        <v>436</v>
      </c>
      <c r="B96" s="306" t="s">
        <v>813</v>
      </c>
      <c r="C96" s="85">
        <v>50</v>
      </c>
      <c r="D96" s="78">
        <v>71.5</v>
      </c>
      <c r="E96" s="62">
        <f>ROUND($D96*(1-INDEX(Table23[#All],MATCH($O96,Table23[[#All],[Discount Level]],0),MATCH(lettershopAddPricing[[#Headers],[≥ 5,000]],lettershopAddPricing[[#Headers],[≥ 1]:[≥ 150,000]],0))),2)</f>
        <v>66.14</v>
      </c>
      <c r="F96" s="62">
        <f>ROUND($D96*(1-INDEX(Table23[#All],MATCH($O96,Table23[[#All],[Discount Level]],0),MATCH(lettershopAddPricing[[#Headers],[≥ 10,000]],lettershopAddPricing[[#Headers],[≥ 1]:[≥ 150,000]],0))),2)</f>
        <v>62.56</v>
      </c>
      <c r="G96" s="62">
        <f>ROUND($D96*(1-INDEX(Table23[#All],MATCH($O96,Table23[[#All],[Discount Level]],0),MATCH(lettershopAddPricing[[#Headers],[≥ 15,000]],lettershopAddPricing[[#Headers],[≥ 1]:[≥ 150,000]],0))),2)</f>
        <v>58.99</v>
      </c>
      <c r="H96" s="62">
        <f>ROUND($D96*(1-INDEX(Table23[#All],MATCH($O96,Table23[[#All],[Discount Level]],0),MATCH(lettershopAddPricing[[#Headers],[≥ 20,000]],lettershopAddPricing[[#Headers],[≥ 1]:[≥ 150,000]],0))),2)</f>
        <v>57.2</v>
      </c>
      <c r="I96" s="62">
        <f>ROUND($D96*(1-INDEX(Table23[#All],MATCH($O96,Table23[[#All],[Discount Level]],0),MATCH(lettershopAddPricing[[#Headers],[≥ 25,000]],lettershopAddPricing[[#Headers],[≥ 1]:[≥ 150,000]],0))),2)</f>
        <v>53.63</v>
      </c>
      <c r="J96" s="62">
        <f>ROUND($D96*(1-INDEX(Table23[#All],MATCH($O96,Table23[[#All],[Discount Level]],0),MATCH(lettershopAddPricing[[#Headers],[≥ 35,000]],lettershopAddPricing[[#Headers],[≥ 1]:[≥ 150,000]],0))),2)</f>
        <v>50.05</v>
      </c>
      <c r="K96" s="62">
        <f>ROUND($D96*(1-INDEX(Table23[#All],MATCH($O96,Table23[[#All],[Discount Level]],0),MATCH(lettershopAddPricing[[#Headers],[≥ 50,000]],lettershopAddPricing[[#Headers],[≥ 1]:[≥ 150,000]],0))),2)</f>
        <v>46.48</v>
      </c>
      <c r="L96" s="62">
        <f>ROUND($D96*(1-INDEX(Table23[#All],MATCH($O96,Table23[[#All],[Discount Level]],0),MATCH(lettershopAddPricing[[#Headers],[≥ 75,000]],lettershopAddPricing[[#Headers],[≥ 1]:[≥ 150,000]],0))),2)</f>
        <v>42.9</v>
      </c>
      <c r="M96" s="62">
        <f>ROUND($D96*(1-INDEX(Table23[#All],MATCH($O96,Table23[[#All],[Discount Level]],0),MATCH(lettershopAddPricing[[#Headers],[≥ 100,000]],lettershopAddPricing[[#Headers],[≥ 1]:[≥ 150,000]],0))),2)</f>
        <v>41.11</v>
      </c>
      <c r="N96" s="62">
        <f>ROUND($D96*(1-INDEX(Table23[#All],MATCH($O96,Table23[[#All],[Discount Level]],0),MATCH(lettershopAddPricing[[#Headers],[≥ 150,000]],lettershopAddPricing[[#Headers],[≥ 1]:[≥ 150,000]],0))),2)</f>
        <v>39.33</v>
      </c>
      <c r="O96" s="66" t="s">
        <v>422</v>
      </c>
    </row>
    <row r="97" spans="1:15" ht="27" customHeight="1" x14ac:dyDescent="0.25">
      <c r="A97" s="316" t="s">
        <v>436</v>
      </c>
      <c r="B97" s="306" t="s">
        <v>814</v>
      </c>
      <c r="C97" s="85">
        <v>50</v>
      </c>
      <c r="D97" s="78">
        <v>69.5</v>
      </c>
      <c r="E97" s="62">
        <f>ROUND($D97*(1-INDEX(Table23[#All],MATCH($O97,Table23[[#All],[Discount Level]],0),MATCH(lettershopAddPricing[[#Headers],[≥ 5,000]],lettershopAddPricing[[#Headers],[≥ 1]:[≥ 150,000]],0))),2)</f>
        <v>64.290000000000006</v>
      </c>
      <c r="F97" s="62">
        <f>ROUND($D97*(1-INDEX(Table23[#All],MATCH($O97,Table23[[#All],[Discount Level]],0),MATCH(lettershopAddPricing[[#Headers],[≥ 10,000]],lettershopAddPricing[[#Headers],[≥ 1]:[≥ 150,000]],0))),2)</f>
        <v>60.81</v>
      </c>
      <c r="G97" s="62">
        <f>ROUND($D97*(1-INDEX(Table23[#All],MATCH($O97,Table23[[#All],[Discount Level]],0),MATCH(lettershopAddPricing[[#Headers],[≥ 15,000]],lettershopAddPricing[[#Headers],[≥ 1]:[≥ 150,000]],0))),2)</f>
        <v>57.34</v>
      </c>
      <c r="H97" s="62">
        <f>ROUND($D97*(1-INDEX(Table23[#All],MATCH($O97,Table23[[#All],[Discount Level]],0),MATCH(lettershopAddPricing[[#Headers],[≥ 20,000]],lettershopAddPricing[[#Headers],[≥ 1]:[≥ 150,000]],0))),2)</f>
        <v>55.6</v>
      </c>
      <c r="I97" s="62">
        <f>ROUND($D97*(1-INDEX(Table23[#All],MATCH($O97,Table23[[#All],[Discount Level]],0),MATCH(lettershopAddPricing[[#Headers],[≥ 25,000]],lettershopAddPricing[[#Headers],[≥ 1]:[≥ 150,000]],0))),2)</f>
        <v>52.13</v>
      </c>
      <c r="J97" s="62">
        <f>ROUND($D97*(1-INDEX(Table23[#All],MATCH($O97,Table23[[#All],[Discount Level]],0),MATCH(lettershopAddPricing[[#Headers],[≥ 35,000]],lettershopAddPricing[[#Headers],[≥ 1]:[≥ 150,000]],0))),2)</f>
        <v>48.65</v>
      </c>
      <c r="K97" s="62">
        <f>ROUND($D97*(1-INDEX(Table23[#All],MATCH($O97,Table23[[#All],[Discount Level]],0),MATCH(lettershopAddPricing[[#Headers],[≥ 50,000]],lettershopAddPricing[[#Headers],[≥ 1]:[≥ 150,000]],0))),2)</f>
        <v>45.18</v>
      </c>
      <c r="L97" s="62">
        <f>ROUND($D97*(1-INDEX(Table23[#All],MATCH($O97,Table23[[#All],[Discount Level]],0),MATCH(lettershopAddPricing[[#Headers],[≥ 75,000]],lettershopAddPricing[[#Headers],[≥ 1]:[≥ 150,000]],0))),2)</f>
        <v>41.7</v>
      </c>
      <c r="M97" s="62">
        <f>ROUND($D97*(1-INDEX(Table23[#All],MATCH($O97,Table23[[#All],[Discount Level]],0),MATCH(lettershopAddPricing[[#Headers],[≥ 100,000]],lettershopAddPricing[[#Headers],[≥ 1]:[≥ 150,000]],0))),2)</f>
        <v>39.96</v>
      </c>
      <c r="N97" s="62">
        <f>ROUND($D97*(1-INDEX(Table23[#All],MATCH($O97,Table23[[#All],[Discount Level]],0),MATCH(lettershopAddPricing[[#Headers],[≥ 150,000]],lettershopAddPricing[[#Headers],[≥ 1]:[≥ 150,000]],0))),2)</f>
        <v>38.229999999999997</v>
      </c>
      <c r="O97" s="66" t="s">
        <v>422</v>
      </c>
    </row>
    <row r="98" spans="1:15" ht="27" customHeight="1" x14ac:dyDescent="0.25">
      <c r="A98" s="316" t="s">
        <v>436</v>
      </c>
      <c r="B98" s="306" t="s">
        <v>815</v>
      </c>
      <c r="C98" s="85">
        <v>50</v>
      </c>
      <c r="D98" s="78">
        <v>69.5</v>
      </c>
      <c r="E98" s="62">
        <f>ROUND($D98*(1-INDEX(Table23[#All],MATCH($O98,Table23[[#All],[Discount Level]],0),MATCH(lettershopAddPricing[[#Headers],[≥ 5,000]],lettershopAddPricing[[#Headers],[≥ 1]:[≥ 150,000]],0))),2)</f>
        <v>64.290000000000006</v>
      </c>
      <c r="F98" s="62">
        <f>ROUND($D98*(1-INDEX(Table23[#All],MATCH($O98,Table23[[#All],[Discount Level]],0),MATCH(lettershopAddPricing[[#Headers],[≥ 10,000]],lettershopAddPricing[[#Headers],[≥ 1]:[≥ 150,000]],0))),2)</f>
        <v>60.81</v>
      </c>
      <c r="G98" s="62">
        <f>ROUND($D98*(1-INDEX(Table23[#All],MATCH($O98,Table23[[#All],[Discount Level]],0),MATCH(lettershopAddPricing[[#Headers],[≥ 15,000]],lettershopAddPricing[[#Headers],[≥ 1]:[≥ 150,000]],0))),2)</f>
        <v>57.34</v>
      </c>
      <c r="H98" s="62">
        <f>ROUND($D98*(1-INDEX(Table23[#All],MATCH($O98,Table23[[#All],[Discount Level]],0),MATCH(lettershopAddPricing[[#Headers],[≥ 20,000]],lettershopAddPricing[[#Headers],[≥ 1]:[≥ 150,000]],0))),2)</f>
        <v>55.6</v>
      </c>
      <c r="I98" s="62">
        <f>ROUND($D98*(1-INDEX(Table23[#All],MATCH($O98,Table23[[#All],[Discount Level]],0),MATCH(lettershopAddPricing[[#Headers],[≥ 25,000]],lettershopAddPricing[[#Headers],[≥ 1]:[≥ 150,000]],0))),2)</f>
        <v>52.13</v>
      </c>
      <c r="J98" s="62">
        <f>ROUND($D98*(1-INDEX(Table23[#All],MATCH($O98,Table23[[#All],[Discount Level]],0),MATCH(lettershopAddPricing[[#Headers],[≥ 35,000]],lettershopAddPricing[[#Headers],[≥ 1]:[≥ 150,000]],0))),2)</f>
        <v>48.65</v>
      </c>
      <c r="K98" s="62">
        <f>ROUND($D98*(1-INDEX(Table23[#All],MATCH($O98,Table23[[#All],[Discount Level]],0),MATCH(lettershopAddPricing[[#Headers],[≥ 50,000]],lettershopAddPricing[[#Headers],[≥ 1]:[≥ 150,000]],0))),2)</f>
        <v>45.18</v>
      </c>
      <c r="L98" s="62">
        <f>ROUND($D98*(1-INDEX(Table23[#All],MATCH($O98,Table23[[#All],[Discount Level]],0),MATCH(lettershopAddPricing[[#Headers],[≥ 75,000]],lettershopAddPricing[[#Headers],[≥ 1]:[≥ 150,000]],0))),2)</f>
        <v>41.7</v>
      </c>
      <c r="M98" s="62">
        <f>ROUND($D98*(1-INDEX(Table23[#All],MATCH($O98,Table23[[#All],[Discount Level]],0),MATCH(lettershopAddPricing[[#Headers],[≥ 100,000]],lettershopAddPricing[[#Headers],[≥ 1]:[≥ 150,000]],0))),2)</f>
        <v>39.96</v>
      </c>
      <c r="N98" s="62">
        <f>ROUND($D98*(1-INDEX(Table23[#All],MATCH($O98,Table23[[#All],[Discount Level]],0),MATCH(lettershopAddPricing[[#Headers],[≥ 150,000]],lettershopAddPricing[[#Headers],[≥ 1]:[≥ 150,000]],0))),2)</f>
        <v>38.229999999999997</v>
      </c>
      <c r="O98" s="66" t="s">
        <v>422</v>
      </c>
    </row>
    <row r="99" spans="1:15" ht="27" customHeight="1" x14ac:dyDescent="0.25">
      <c r="A99" s="316" t="s">
        <v>436</v>
      </c>
      <c r="B99" s="306" t="s">
        <v>816</v>
      </c>
      <c r="C99" s="85">
        <v>50</v>
      </c>
      <c r="D99" s="78">
        <v>74.5</v>
      </c>
      <c r="E99" s="62">
        <f>ROUND($D99*(1-INDEX(Table23[#All],MATCH($O99,Table23[[#All],[Discount Level]],0),MATCH(lettershopAddPricing[[#Headers],[≥ 5,000]],lettershopAddPricing[[#Headers],[≥ 1]:[≥ 150,000]],0))),2)</f>
        <v>68.91</v>
      </c>
      <c r="F99" s="62">
        <f>ROUND($D99*(1-INDEX(Table23[#All],MATCH($O99,Table23[[#All],[Discount Level]],0),MATCH(lettershopAddPricing[[#Headers],[≥ 10,000]],lettershopAddPricing[[#Headers],[≥ 1]:[≥ 150,000]],0))),2)</f>
        <v>65.19</v>
      </c>
      <c r="G99" s="62">
        <f>ROUND($D99*(1-INDEX(Table23[#All],MATCH($O99,Table23[[#All],[Discount Level]],0),MATCH(lettershopAddPricing[[#Headers],[≥ 15,000]],lettershopAddPricing[[#Headers],[≥ 1]:[≥ 150,000]],0))),2)</f>
        <v>61.46</v>
      </c>
      <c r="H99" s="62">
        <f>ROUND($D99*(1-INDEX(Table23[#All],MATCH($O99,Table23[[#All],[Discount Level]],0),MATCH(lettershopAddPricing[[#Headers],[≥ 20,000]],lettershopAddPricing[[#Headers],[≥ 1]:[≥ 150,000]],0))),2)</f>
        <v>59.6</v>
      </c>
      <c r="I99" s="62">
        <f>ROUND($D99*(1-INDEX(Table23[#All],MATCH($O99,Table23[[#All],[Discount Level]],0),MATCH(lettershopAddPricing[[#Headers],[≥ 25,000]],lettershopAddPricing[[#Headers],[≥ 1]:[≥ 150,000]],0))),2)</f>
        <v>55.88</v>
      </c>
      <c r="J99" s="62">
        <f>ROUND($D99*(1-INDEX(Table23[#All],MATCH($O99,Table23[[#All],[Discount Level]],0),MATCH(lettershopAddPricing[[#Headers],[≥ 35,000]],lettershopAddPricing[[#Headers],[≥ 1]:[≥ 150,000]],0))),2)</f>
        <v>52.15</v>
      </c>
      <c r="K99" s="62">
        <f>ROUND($D99*(1-INDEX(Table23[#All],MATCH($O99,Table23[[#All],[Discount Level]],0),MATCH(lettershopAddPricing[[#Headers],[≥ 50,000]],lettershopAddPricing[[#Headers],[≥ 1]:[≥ 150,000]],0))),2)</f>
        <v>48.43</v>
      </c>
      <c r="L99" s="62">
        <f>ROUND($D99*(1-INDEX(Table23[#All],MATCH($O99,Table23[[#All],[Discount Level]],0),MATCH(lettershopAddPricing[[#Headers],[≥ 75,000]],lettershopAddPricing[[#Headers],[≥ 1]:[≥ 150,000]],0))),2)</f>
        <v>44.7</v>
      </c>
      <c r="M99" s="62">
        <f>ROUND($D99*(1-INDEX(Table23[#All],MATCH($O99,Table23[[#All],[Discount Level]],0),MATCH(lettershopAddPricing[[#Headers],[≥ 100,000]],lettershopAddPricing[[#Headers],[≥ 1]:[≥ 150,000]],0))),2)</f>
        <v>42.84</v>
      </c>
      <c r="N99" s="62">
        <f>ROUND($D99*(1-INDEX(Table23[#All],MATCH($O99,Table23[[#All],[Discount Level]],0),MATCH(lettershopAddPricing[[#Headers],[≥ 150,000]],lettershopAddPricing[[#Headers],[≥ 1]:[≥ 150,000]],0))),2)</f>
        <v>40.98</v>
      </c>
      <c r="O99" s="66" t="s">
        <v>422</v>
      </c>
    </row>
    <row r="100" spans="1:15" ht="27" customHeight="1" x14ac:dyDescent="0.25">
      <c r="A100" s="316" t="s">
        <v>437</v>
      </c>
      <c r="B100" s="306" t="s">
        <v>817</v>
      </c>
      <c r="C100" s="85">
        <v>50</v>
      </c>
      <c r="D100" s="78">
        <v>83.5</v>
      </c>
      <c r="E100" s="62">
        <f>ROUND($D100*(1-INDEX(Table23[#All],MATCH($O100,Table23[[#All],[Discount Level]],0),MATCH(lettershopAddPricing[[#Headers],[≥ 5,000]],lettershopAddPricing[[#Headers],[≥ 1]:[≥ 150,000]],0))),2)</f>
        <v>77.239999999999995</v>
      </c>
      <c r="F100" s="62">
        <f>ROUND($D100*(1-INDEX(Table23[#All],MATCH($O100,Table23[[#All],[Discount Level]],0),MATCH(lettershopAddPricing[[#Headers],[≥ 10,000]],lettershopAddPricing[[#Headers],[≥ 1]:[≥ 150,000]],0))),2)</f>
        <v>73.06</v>
      </c>
      <c r="G100" s="62">
        <f>ROUND($D100*(1-INDEX(Table23[#All],MATCH($O100,Table23[[#All],[Discount Level]],0),MATCH(lettershopAddPricing[[#Headers],[≥ 15,000]],lettershopAddPricing[[#Headers],[≥ 1]:[≥ 150,000]],0))),2)</f>
        <v>68.89</v>
      </c>
      <c r="H100" s="62">
        <f>ROUND($D100*(1-INDEX(Table23[#All],MATCH($O100,Table23[[#All],[Discount Level]],0),MATCH(lettershopAddPricing[[#Headers],[≥ 20,000]],lettershopAddPricing[[#Headers],[≥ 1]:[≥ 150,000]],0))),2)</f>
        <v>66.8</v>
      </c>
      <c r="I100" s="62">
        <f>ROUND($D100*(1-INDEX(Table23[#All],MATCH($O100,Table23[[#All],[Discount Level]],0),MATCH(lettershopAddPricing[[#Headers],[≥ 25,000]],lettershopAddPricing[[#Headers],[≥ 1]:[≥ 150,000]],0))),2)</f>
        <v>62.63</v>
      </c>
      <c r="J100" s="62">
        <f>ROUND($D100*(1-INDEX(Table23[#All],MATCH($O100,Table23[[#All],[Discount Level]],0),MATCH(lettershopAddPricing[[#Headers],[≥ 35,000]],lettershopAddPricing[[#Headers],[≥ 1]:[≥ 150,000]],0))),2)</f>
        <v>58.45</v>
      </c>
      <c r="K100" s="62">
        <f>ROUND($D100*(1-INDEX(Table23[#All],MATCH($O100,Table23[[#All],[Discount Level]],0),MATCH(lettershopAddPricing[[#Headers],[≥ 50,000]],lettershopAddPricing[[#Headers],[≥ 1]:[≥ 150,000]],0))),2)</f>
        <v>54.28</v>
      </c>
      <c r="L100" s="62">
        <f>ROUND($D100*(1-INDEX(Table23[#All],MATCH($O100,Table23[[#All],[Discount Level]],0),MATCH(lettershopAddPricing[[#Headers],[≥ 75,000]],lettershopAddPricing[[#Headers],[≥ 1]:[≥ 150,000]],0))),2)</f>
        <v>50.1</v>
      </c>
      <c r="M100" s="62">
        <f>ROUND($D100*(1-INDEX(Table23[#All],MATCH($O100,Table23[[#All],[Discount Level]],0),MATCH(lettershopAddPricing[[#Headers],[≥ 100,000]],lettershopAddPricing[[#Headers],[≥ 1]:[≥ 150,000]],0))),2)</f>
        <v>48.01</v>
      </c>
      <c r="N100" s="62">
        <f>ROUND($D100*(1-INDEX(Table23[#All],MATCH($O100,Table23[[#All],[Discount Level]],0),MATCH(lettershopAddPricing[[#Headers],[≥ 150,000]],lettershopAddPricing[[#Headers],[≥ 1]:[≥ 150,000]],0))),2)</f>
        <v>45.93</v>
      </c>
      <c r="O100" s="66" t="s">
        <v>422</v>
      </c>
    </row>
    <row r="101" spans="1:15" ht="27" customHeight="1" x14ac:dyDescent="0.25">
      <c r="A101" s="316" t="s">
        <v>437</v>
      </c>
      <c r="B101" s="306" t="s">
        <v>818</v>
      </c>
      <c r="C101" s="85">
        <v>50</v>
      </c>
      <c r="D101" s="78">
        <v>70.5</v>
      </c>
      <c r="E101" s="62">
        <f>ROUND($D101*(1-INDEX(Table23[#All],MATCH($O101,Table23[[#All],[Discount Level]],0),MATCH(lettershopAddPricing[[#Headers],[≥ 5,000]],lettershopAddPricing[[#Headers],[≥ 1]:[≥ 150,000]],0))),2)</f>
        <v>65.209999999999994</v>
      </c>
      <c r="F101" s="62">
        <f>ROUND($D101*(1-INDEX(Table23[#All],MATCH($O101,Table23[[#All],[Discount Level]],0),MATCH(lettershopAddPricing[[#Headers],[≥ 10,000]],lettershopAddPricing[[#Headers],[≥ 1]:[≥ 150,000]],0))),2)</f>
        <v>61.69</v>
      </c>
      <c r="G101" s="62">
        <f>ROUND($D101*(1-INDEX(Table23[#All],MATCH($O101,Table23[[#All],[Discount Level]],0),MATCH(lettershopAddPricing[[#Headers],[≥ 15,000]],lettershopAddPricing[[#Headers],[≥ 1]:[≥ 150,000]],0))),2)</f>
        <v>58.16</v>
      </c>
      <c r="H101" s="62">
        <f>ROUND($D101*(1-INDEX(Table23[#All],MATCH($O101,Table23[[#All],[Discount Level]],0),MATCH(lettershopAddPricing[[#Headers],[≥ 20,000]],lettershopAddPricing[[#Headers],[≥ 1]:[≥ 150,000]],0))),2)</f>
        <v>56.4</v>
      </c>
      <c r="I101" s="62">
        <f>ROUND($D101*(1-INDEX(Table23[#All],MATCH($O101,Table23[[#All],[Discount Level]],0),MATCH(lettershopAddPricing[[#Headers],[≥ 25,000]],lettershopAddPricing[[#Headers],[≥ 1]:[≥ 150,000]],0))),2)</f>
        <v>52.88</v>
      </c>
      <c r="J101" s="62">
        <f>ROUND($D101*(1-INDEX(Table23[#All],MATCH($O101,Table23[[#All],[Discount Level]],0),MATCH(lettershopAddPricing[[#Headers],[≥ 35,000]],lettershopAddPricing[[#Headers],[≥ 1]:[≥ 150,000]],0))),2)</f>
        <v>49.35</v>
      </c>
      <c r="K101" s="62">
        <f>ROUND($D101*(1-INDEX(Table23[#All],MATCH($O101,Table23[[#All],[Discount Level]],0),MATCH(lettershopAddPricing[[#Headers],[≥ 50,000]],lettershopAddPricing[[#Headers],[≥ 1]:[≥ 150,000]],0))),2)</f>
        <v>45.83</v>
      </c>
      <c r="L101" s="62">
        <f>ROUND($D101*(1-INDEX(Table23[#All],MATCH($O101,Table23[[#All],[Discount Level]],0),MATCH(lettershopAddPricing[[#Headers],[≥ 75,000]],lettershopAddPricing[[#Headers],[≥ 1]:[≥ 150,000]],0))),2)</f>
        <v>42.3</v>
      </c>
      <c r="M101" s="62">
        <f>ROUND($D101*(1-INDEX(Table23[#All],MATCH($O101,Table23[[#All],[Discount Level]],0),MATCH(lettershopAddPricing[[#Headers],[≥ 100,000]],lettershopAddPricing[[#Headers],[≥ 1]:[≥ 150,000]],0))),2)</f>
        <v>40.54</v>
      </c>
      <c r="N101" s="62">
        <f>ROUND($D101*(1-INDEX(Table23[#All],MATCH($O101,Table23[[#All],[Discount Level]],0),MATCH(lettershopAddPricing[[#Headers],[≥ 150,000]],lettershopAddPricing[[#Headers],[≥ 1]:[≥ 150,000]],0))),2)</f>
        <v>38.78</v>
      </c>
      <c r="O101" s="66" t="s">
        <v>422</v>
      </c>
    </row>
    <row r="102" spans="1:15" ht="27" customHeight="1" x14ac:dyDescent="0.25">
      <c r="A102" s="316" t="s">
        <v>437</v>
      </c>
      <c r="B102" s="306" t="s">
        <v>766</v>
      </c>
      <c r="C102" s="85">
        <v>50</v>
      </c>
      <c r="D102" s="78">
        <v>83.5</v>
      </c>
      <c r="E102" s="62">
        <f>ROUND($D102*(1-INDEX(Table23[#All],MATCH($O102,Table23[[#All],[Discount Level]],0),MATCH(lettershopAddPricing[[#Headers],[≥ 5,000]],lettershopAddPricing[[#Headers],[≥ 1]:[≥ 150,000]],0))),2)</f>
        <v>77.239999999999995</v>
      </c>
      <c r="F102" s="62">
        <f>ROUND($D102*(1-INDEX(Table23[#All],MATCH($O102,Table23[[#All],[Discount Level]],0),MATCH(lettershopAddPricing[[#Headers],[≥ 10,000]],lettershopAddPricing[[#Headers],[≥ 1]:[≥ 150,000]],0))),2)</f>
        <v>73.06</v>
      </c>
      <c r="G102" s="62">
        <f>ROUND($D102*(1-INDEX(Table23[#All],MATCH($O102,Table23[[#All],[Discount Level]],0),MATCH(lettershopAddPricing[[#Headers],[≥ 15,000]],lettershopAddPricing[[#Headers],[≥ 1]:[≥ 150,000]],0))),2)</f>
        <v>68.89</v>
      </c>
      <c r="H102" s="62">
        <f>ROUND($D102*(1-INDEX(Table23[#All],MATCH($O102,Table23[[#All],[Discount Level]],0),MATCH(lettershopAddPricing[[#Headers],[≥ 20,000]],lettershopAddPricing[[#Headers],[≥ 1]:[≥ 150,000]],0))),2)</f>
        <v>66.8</v>
      </c>
      <c r="I102" s="62">
        <f>ROUND($D102*(1-INDEX(Table23[#All],MATCH($O102,Table23[[#All],[Discount Level]],0),MATCH(lettershopAddPricing[[#Headers],[≥ 25,000]],lettershopAddPricing[[#Headers],[≥ 1]:[≥ 150,000]],0))),2)</f>
        <v>62.63</v>
      </c>
      <c r="J102" s="62">
        <f>ROUND($D102*(1-INDEX(Table23[#All],MATCH($O102,Table23[[#All],[Discount Level]],0),MATCH(lettershopAddPricing[[#Headers],[≥ 35,000]],lettershopAddPricing[[#Headers],[≥ 1]:[≥ 150,000]],0))),2)</f>
        <v>58.45</v>
      </c>
      <c r="K102" s="62">
        <f>ROUND($D102*(1-INDEX(Table23[#All],MATCH($O102,Table23[[#All],[Discount Level]],0),MATCH(lettershopAddPricing[[#Headers],[≥ 50,000]],lettershopAddPricing[[#Headers],[≥ 1]:[≥ 150,000]],0))),2)</f>
        <v>54.28</v>
      </c>
      <c r="L102" s="62">
        <f>ROUND($D102*(1-INDEX(Table23[#All],MATCH($O102,Table23[[#All],[Discount Level]],0),MATCH(lettershopAddPricing[[#Headers],[≥ 75,000]],lettershopAddPricing[[#Headers],[≥ 1]:[≥ 150,000]],0))),2)</f>
        <v>50.1</v>
      </c>
      <c r="M102" s="62">
        <f>ROUND($D102*(1-INDEX(Table23[#All],MATCH($O102,Table23[[#All],[Discount Level]],0),MATCH(lettershopAddPricing[[#Headers],[≥ 100,000]],lettershopAddPricing[[#Headers],[≥ 1]:[≥ 150,000]],0))),2)</f>
        <v>48.01</v>
      </c>
      <c r="N102" s="62">
        <f>ROUND($D102*(1-INDEX(Table23[#All],MATCH($O102,Table23[[#All],[Discount Level]],0),MATCH(lettershopAddPricing[[#Headers],[≥ 150,000]],lettershopAddPricing[[#Headers],[≥ 1]:[≥ 150,000]],0))),2)</f>
        <v>45.93</v>
      </c>
      <c r="O102" s="66" t="s">
        <v>422</v>
      </c>
    </row>
    <row r="103" spans="1:15" ht="27" customHeight="1" x14ac:dyDescent="0.25">
      <c r="A103" s="316" t="s">
        <v>438</v>
      </c>
      <c r="B103" s="306" t="s">
        <v>726</v>
      </c>
      <c r="C103" s="85">
        <v>40</v>
      </c>
      <c r="D103" s="78">
        <v>60</v>
      </c>
      <c r="E103" s="62">
        <f>ROUND($D103*(1-INDEX(Table23[#All],MATCH($O103,Table23[[#All],[Discount Level]],0),MATCH(lettershopAddPricing[[#Headers],[≥ 5,000]],lettershopAddPricing[[#Headers],[≥ 1]:[≥ 150,000]],0))),2)</f>
        <v>55.5</v>
      </c>
      <c r="F103" s="62">
        <f>ROUND($D103*(1-INDEX(Table23[#All],MATCH($O103,Table23[[#All],[Discount Level]],0),MATCH(lettershopAddPricing[[#Headers],[≥ 10,000]],lettershopAddPricing[[#Headers],[≥ 1]:[≥ 150,000]],0))),2)</f>
        <v>52.5</v>
      </c>
      <c r="G103" s="62">
        <f>ROUND($D103*(1-INDEX(Table23[#All],MATCH($O103,Table23[[#All],[Discount Level]],0),MATCH(lettershopAddPricing[[#Headers],[≥ 15,000]],lettershopAddPricing[[#Headers],[≥ 1]:[≥ 150,000]],0))),2)</f>
        <v>49.5</v>
      </c>
      <c r="H103" s="62">
        <f>ROUND($D103*(1-INDEX(Table23[#All],MATCH($O103,Table23[[#All],[Discount Level]],0),MATCH(lettershopAddPricing[[#Headers],[≥ 20,000]],lettershopAddPricing[[#Headers],[≥ 1]:[≥ 150,000]],0))),2)</f>
        <v>48</v>
      </c>
      <c r="I103" s="62">
        <f>ROUND($D103*(1-INDEX(Table23[#All],MATCH($O103,Table23[[#All],[Discount Level]],0),MATCH(lettershopAddPricing[[#Headers],[≥ 25,000]],lettershopAddPricing[[#Headers],[≥ 1]:[≥ 150,000]],0))),2)</f>
        <v>45</v>
      </c>
      <c r="J103" s="62">
        <f>ROUND($D103*(1-INDEX(Table23[#All],MATCH($O103,Table23[[#All],[Discount Level]],0),MATCH(lettershopAddPricing[[#Headers],[≥ 35,000]],lettershopAddPricing[[#Headers],[≥ 1]:[≥ 150,000]],0))),2)</f>
        <v>42</v>
      </c>
      <c r="K103" s="62">
        <f>ROUND($D103*(1-INDEX(Table23[#All],MATCH($O103,Table23[[#All],[Discount Level]],0),MATCH(lettershopAddPricing[[#Headers],[≥ 50,000]],lettershopAddPricing[[#Headers],[≥ 1]:[≥ 150,000]],0))),2)</f>
        <v>39</v>
      </c>
      <c r="L103" s="62">
        <f>ROUND($D103*(1-INDEX(Table23[#All],MATCH($O103,Table23[[#All],[Discount Level]],0),MATCH(lettershopAddPricing[[#Headers],[≥ 75,000]],lettershopAddPricing[[#Headers],[≥ 1]:[≥ 150,000]],0))),2)</f>
        <v>36</v>
      </c>
      <c r="M103" s="62">
        <f>ROUND($D103*(1-INDEX(Table23[#All],MATCH($O103,Table23[[#All],[Discount Level]],0),MATCH(lettershopAddPricing[[#Headers],[≥ 100,000]],lettershopAddPricing[[#Headers],[≥ 1]:[≥ 150,000]],0))),2)</f>
        <v>34.5</v>
      </c>
      <c r="N103" s="62">
        <f>ROUND($D103*(1-INDEX(Table23[#All],MATCH($O103,Table23[[#All],[Discount Level]],0),MATCH(lettershopAddPricing[[#Headers],[≥ 150,000]],lettershopAddPricing[[#Headers],[≥ 1]:[≥ 150,000]],0))),2)</f>
        <v>33</v>
      </c>
      <c r="O103" s="66" t="s">
        <v>422</v>
      </c>
    </row>
    <row r="104" spans="1:15" ht="27" customHeight="1" x14ac:dyDescent="0.25">
      <c r="A104" s="316" t="s">
        <v>438</v>
      </c>
      <c r="B104" s="306" t="s">
        <v>727</v>
      </c>
      <c r="C104" s="85">
        <v>40</v>
      </c>
      <c r="D104" s="78">
        <v>67.5</v>
      </c>
      <c r="E104" s="62">
        <f>ROUND($D104*(1-INDEX(Table23[#All],MATCH($O104,Table23[[#All],[Discount Level]],0),MATCH(lettershopAddPricing[[#Headers],[≥ 5,000]],lettershopAddPricing[[#Headers],[≥ 1]:[≥ 150,000]],0))),2)</f>
        <v>62.44</v>
      </c>
      <c r="F104" s="62">
        <f>ROUND($D104*(1-INDEX(Table23[#All],MATCH($O104,Table23[[#All],[Discount Level]],0),MATCH(lettershopAddPricing[[#Headers],[≥ 10,000]],lettershopAddPricing[[#Headers],[≥ 1]:[≥ 150,000]],0))),2)</f>
        <v>59.06</v>
      </c>
      <c r="G104" s="62">
        <f>ROUND($D104*(1-INDEX(Table23[#All],MATCH($O104,Table23[[#All],[Discount Level]],0),MATCH(lettershopAddPricing[[#Headers],[≥ 15,000]],lettershopAddPricing[[#Headers],[≥ 1]:[≥ 150,000]],0))),2)</f>
        <v>55.69</v>
      </c>
      <c r="H104" s="62">
        <f>ROUND($D104*(1-INDEX(Table23[#All],MATCH($O104,Table23[[#All],[Discount Level]],0),MATCH(lettershopAddPricing[[#Headers],[≥ 20,000]],lettershopAddPricing[[#Headers],[≥ 1]:[≥ 150,000]],0))),2)</f>
        <v>54</v>
      </c>
      <c r="I104" s="62">
        <f>ROUND($D104*(1-INDEX(Table23[#All],MATCH($O104,Table23[[#All],[Discount Level]],0),MATCH(lettershopAddPricing[[#Headers],[≥ 25,000]],lettershopAddPricing[[#Headers],[≥ 1]:[≥ 150,000]],0))),2)</f>
        <v>50.63</v>
      </c>
      <c r="J104" s="62">
        <f>ROUND($D104*(1-INDEX(Table23[#All],MATCH($O104,Table23[[#All],[Discount Level]],0),MATCH(lettershopAddPricing[[#Headers],[≥ 35,000]],lettershopAddPricing[[#Headers],[≥ 1]:[≥ 150,000]],0))),2)</f>
        <v>47.25</v>
      </c>
      <c r="K104" s="62">
        <f>ROUND($D104*(1-INDEX(Table23[#All],MATCH($O104,Table23[[#All],[Discount Level]],0),MATCH(lettershopAddPricing[[#Headers],[≥ 50,000]],lettershopAddPricing[[#Headers],[≥ 1]:[≥ 150,000]],0))),2)</f>
        <v>43.88</v>
      </c>
      <c r="L104" s="62">
        <f>ROUND($D104*(1-INDEX(Table23[#All],MATCH($O104,Table23[[#All],[Discount Level]],0),MATCH(lettershopAddPricing[[#Headers],[≥ 75,000]],lettershopAddPricing[[#Headers],[≥ 1]:[≥ 150,000]],0))),2)</f>
        <v>40.5</v>
      </c>
      <c r="M104" s="62">
        <f>ROUND($D104*(1-INDEX(Table23[#All],MATCH($O104,Table23[[#All],[Discount Level]],0),MATCH(lettershopAddPricing[[#Headers],[≥ 100,000]],lettershopAddPricing[[#Headers],[≥ 1]:[≥ 150,000]],0))),2)</f>
        <v>38.81</v>
      </c>
      <c r="N104" s="62">
        <f>ROUND($D104*(1-INDEX(Table23[#All],MATCH($O104,Table23[[#All],[Discount Level]],0),MATCH(lettershopAddPricing[[#Headers],[≥ 150,000]],lettershopAddPricing[[#Headers],[≥ 1]:[≥ 150,000]],0))),2)</f>
        <v>37.130000000000003</v>
      </c>
      <c r="O104" s="66" t="s">
        <v>422</v>
      </c>
    </row>
    <row r="105" spans="1:15" ht="27" customHeight="1" x14ac:dyDescent="0.25">
      <c r="A105" s="316" t="s">
        <v>438</v>
      </c>
      <c r="B105" s="306" t="s">
        <v>728</v>
      </c>
      <c r="C105" s="85">
        <v>40</v>
      </c>
      <c r="D105" s="78">
        <v>70.5</v>
      </c>
      <c r="E105" s="62">
        <f>ROUND($D105*(1-INDEX(Table23[#All],MATCH($O105,Table23[[#All],[Discount Level]],0),MATCH(lettershopAddPricing[[#Headers],[≥ 5,000]],lettershopAddPricing[[#Headers],[≥ 1]:[≥ 150,000]],0))),2)</f>
        <v>65.209999999999994</v>
      </c>
      <c r="F105" s="62">
        <f>ROUND($D105*(1-INDEX(Table23[#All],MATCH($O105,Table23[[#All],[Discount Level]],0),MATCH(lettershopAddPricing[[#Headers],[≥ 10,000]],lettershopAddPricing[[#Headers],[≥ 1]:[≥ 150,000]],0))),2)</f>
        <v>61.69</v>
      </c>
      <c r="G105" s="62">
        <f>ROUND($D105*(1-INDEX(Table23[#All],MATCH($O105,Table23[[#All],[Discount Level]],0),MATCH(lettershopAddPricing[[#Headers],[≥ 15,000]],lettershopAddPricing[[#Headers],[≥ 1]:[≥ 150,000]],0))),2)</f>
        <v>58.16</v>
      </c>
      <c r="H105" s="62">
        <f>ROUND($D105*(1-INDEX(Table23[#All],MATCH($O105,Table23[[#All],[Discount Level]],0),MATCH(lettershopAddPricing[[#Headers],[≥ 20,000]],lettershopAddPricing[[#Headers],[≥ 1]:[≥ 150,000]],0))),2)</f>
        <v>56.4</v>
      </c>
      <c r="I105" s="62">
        <f>ROUND($D105*(1-INDEX(Table23[#All],MATCH($O105,Table23[[#All],[Discount Level]],0),MATCH(lettershopAddPricing[[#Headers],[≥ 25,000]],lettershopAddPricing[[#Headers],[≥ 1]:[≥ 150,000]],0))),2)</f>
        <v>52.88</v>
      </c>
      <c r="J105" s="62">
        <f>ROUND($D105*(1-INDEX(Table23[#All],MATCH($O105,Table23[[#All],[Discount Level]],0),MATCH(lettershopAddPricing[[#Headers],[≥ 35,000]],lettershopAddPricing[[#Headers],[≥ 1]:[≥ 150,000]],0))),2)</f>
        <v>49.35</v>
      </c>
      <c r="K105" s="62">
        <f>ROUND($D105*(1-INDEX(Table23[#All],MATCH($O105,Table23[[#All],[Discount Level]],0),MATCH(lettershopAddPricing[[#Headers],[≥ 50,000]],lettershopAddPricing[[#Headers],[≥ 1]:[≥ 150,000]],0))),2)</f>
        <v>45.83</v>
      </c>
      <c r="L105" s="62">
        <f>ROUND($D105*(1-INDEX(Table23[#All],MATCH($O105,Table23[[#All],[Discount Level]],0),MATCH(lettershopAddPricing[[#Headers],[≥ 75,000]],lettershopAddPricing[[#Headers],[≥ 1]:[≥ 150,000]],0))),2)</f>
        <v>42.3</v>
      </c>
      <c r="M105" s="62">
        <f>ROUND($D105*(1-INDEX(Table23[#All],MATCH($O105,Table23[[#All],[Discount Level]],0),MATCH(lettershopAddPricing[[#Headers],[≥ 100,000]],lettershopAddPricing[[#Headers],[≥ 1]:[≥ 150,000]],0))),2)</f>
        <v>40.54</v>
      </c>
      <c r="N105" s="62">
        <f>ROUND($D105*(1-INDEX(Table23[#All],MATCH($O105,Table23[[#All],[Discount Level]],0),MATCH(lettershopAddPricing[[#Headers],[≥ 150,000]],lettershopAddPricing[[#Headers],[≥ 1]:[≥ 150,000]],0))),2)</f>
        <v>38.78</v>
      </c>
      <c r="O105" s="66" t="s">
        <v>422</v>
      </c>
    </row>
    <row r="106" spans="1:15" ht="27" customHeight="1" x14ac:dyDescent="0.25">
      <c r="A106" s="316" t="s">
        <v>438</v>
      </c>
      <c r="B106" s="306" t="s">
        <v>729</v>
      </c>
      <c r="C106" s="85">
        <v>40</v>
      </c>
      <c r="D106" s="78">
        <v>76.5</v>
      </c>
      <c r="E106" s="62">
        <f>ROUND($D106*(1-INDEX(Table23[#All],MATCH($O106,Table23[[#All],[Discount Level]],0),MATCH(lettershopAddPricing[[#Headers],[≥ 5,000]],lettershopAddPricing[[#Headers],[≥ 1]:[≥ 150,000]],0))),2)</f>
        <v>70.760000000000005</v>
      </c>
      <c r="F106" s="62">
        <f>ROUND($D106*(1-INDEX(Table23[#All],MATCH($O106,Table23[[#All],[Discount Level]],0),MATCH(lettershopAddPricing[[#Headers],[≥ 10,000]],lettershopAddPricing[[#Headers],[≥ 1]:[≥ 150,000]],0))),2)</f>
        <v>66.94</v>
      </c>
      <c r="G106" s="62">
        <f>ROUND($D106*(1-INDEX(Table23[#All],MATCH($O106,Table23[[#All],[Discount Level]],0),MATCH(lettershopAddPricing[[#Headers],[≥ 15,000]],lettershopAddPricing[[#Headers],[≥ 1]:[≥ 150,000]],0))),2)</f>
        <v>63.11</v>
      </c>
      <c r="H106" s="62">
        <f>ROUND($D106*(1-INDEX(Table23[#All],MATCH($O106,Table23[[#All],[Discount Level]],0),MATCH(lettershopAddPricing[[#Headers],[≥ 20,000]],lettershopAddPricing[[#Headers],[≥ 1]:[≥ 150,000]],0))),2)</f>
        <v>61.2</v>
      </c>
      <c r="I106" s="62">
        <f>ROUND($D106*(1-INDEX(Table23[#All],MATCH($O106,Table23[[#All],[Discount Level]],0),MATCH(lettershopAddPricing[[#Headers],[≥ 25,000]],lettershopAddPricing[[#Headers],[≥ 1]:[≥ 150,000]],0))),2)</f>
        <v>57.38</v>
      </c>
      <c r="J106" s="62">
        <f>ROUND($D106*(1-INDEX(Table23[#All],MATCH($O106,Table23[[#All],[Discount Level]],0),MATCH(lettershopAddPricing[[#Headers],[≥ 35,000]],lettershopAddPricing[[#Headers],[≥ 1]:[≥ 150,000]],0))),2)</f>
        <v>53.55</v>
      </c>
      <c r="K106" s="62">
        <f>ROUND($D106*(1-INDEX(Table23[#All],MATCH($O106,Table23[[#All],[Discount Level]],0),MATCH(lettershopAddPricing[[#Headers],[≥ 50,000]],lettershopAddPricing[[#Headers],[≥ 1]:[≥ 150,000]],0))),2)</f>
        <v>49.73</v>
      </c>
      <c r="L106" s="62">
        <f>ROUND($D106*(1-INDEX(Table23[#All],MATCH($O106,Table23[[#All],[Discount Level]],0),MATCH(lettershopAddPricing[[#Headers],[≥ 75,000]],lettershopAddPricing[[#Headers],[≥ 1]:[≥ 150,000]],0))),2)</f>
        <v>45.9</v>
      </c>
      <c r="M106" s="62">
        <f>ROUND($D106*(1-INDEX(Table23[#All],MATCH($O106,Table23[[#All],[Discount Level]],0),MATCH(lettershopAddPricing[[#Headers],[≥ 100,000]],lettershopAddPricing[[#Headers],[≥ 1]:[≥ 150,000]],0))),2)</f>
        <v>43.99</v>
      </c>
      <c r="N106" s="62">
        <f>ROUND($D106*(1-INDEX(Table23[#All],MATCH($O106,Table23[[#All],[Discount Level]],0),MATCH(lettershopAddPricing[[#Headers],[≥ 150,000]],lettershopAddPricing[[#Headers],[≥ 1]:[≥ 150,000]],0))),2)</f>
        <v>42.08</v>
      </c>
      <c r="O106" s="66" t="s">
        <v>422</v>
      </c>
    </row>
    <row r="107" spans="1:15" ht="27" customHeight="1" x14ac:dyDescent="0.25">
      <c r="A107" s="316" t="s">
        <v>438</v>
      </c>
      <c r="B107" s="306" t="s">
        <v>730</v>
      </c>
      <c r="C107" s="85">
        <v>40</v>
      </c>
      <c r="D107" s="78">
        <v>81.5</v>
      </c>
      <c r="E107" s="62">
        <f>ROUND($D107*(1-INDEX(Table23[#All],MATCH($O107,Table23[[#All],[Discount Level]],0),MATCH(lettershopAddPricing[[#Headers],[≥ 5,000]],lettershopAddPricing[[#Headers],[≥ 1]:[≥ 150,000]],0))),2)</f>
        <v>75.39</v>
      </c>
      <c r="F107" s="62">
        <f>ROUND($D107*(1-INDEX(Table23[#All],MATCH($O107,Table23[[#All],[Discount Level]],0),MATCH(lettershopAddPricing[[#Headers],[≥ 10,000]],lettershopAddPricing[[#Headers],[≥ 1]:[≥ 150,000]],0))),2)</f>
        <v>71.31</v>
      </c>
      <c r="G107" s="62">
        <f>ROUND($D107*(1-INDEX(Table23[#All],MATCH($O107,Table23[[#All],[Discount Level]],0),MATCH(lettershopAddPricing[[#Headers],[≥ 15,000]],lettershopAddPricing[[#Headers],[≥ 1]:[≥ 150,000]],0))),2)</f>
        <v>67.239999999999995</v>
      </c>
      <c r="H107" s="62">
        <f>ROUND($D107*(1-INDEX(Table23[#All],MATCH($O107,Table23[[#All],[Discount Level]],0),MATCH(lettershopAddPricing[[#Headers],[≥ 20,000]],lettershopAddPricing[[#Headers],[≥ 1]:[≥ 150,000]],0))),2)</f>
        <v>65.2</v>
      </c>
      <c r="I107" s="62">
        <f>ROUND($D107*(1-INDEX(Table23[#All],MATCH($O107,Table23[[#All],[Discount Level]],0),MATCH(lettershopAddPricing[[#Headers],[≥ 25,000]],lettershopAddPricing[[#Headers],[≥ 1]:[≥ 150,000]],0))),2)</f>
        <v>61.13</v>
      </c>
      <c r="J107" s="62">
        <f>ROUND($D107*(1-INDEX(Table23[#All],MATCH($O107,Table23[[#All],[Discount Level]],0),MATCH(lettershopAddPricing[[#Headers],[≥ 35,000]],lettershopAddPricing[[#Headers],[≥ 1]:[≥ 150,000]],0))),2)</f>
        <v>57.05</v>
      </c>
      <c r="K107" s="62">
        <f>ROUND($D107*(1-INDEX(Table23[#All],MATCH($O107,Table23[[#All],[Discount Level]],0),MATCH(lettershopAddPricing[[#Headers],[≥ 50,000]],lettershopAddPricing[[#Headers],[≥ 1]:[≥ 150,000]],0))),2)</f>
        <v>52.98</v>
      </c>
      <c r="L107" s="62">
        <f>ROUND($D107*(1-INDEX(Table23[#All],MATCH($O107,Table23[[#All],[Discount Level]],0),MATCH(lettershopAddPricing[[#Headers],[≥ 75,000]],lettershopAddPricing[[#Headers],[≥ 1]:[≥ 150,000]],0))),2)</f>
        <v>48.9</v>
      </c>
      <c r="M107" s="62">
        <f>ROUND($D107*(1-INDEX(Table23[#All],MATCH($O107,Table23[[#All],[Discount Level]],0),MATCH(lettershopAddPricing[[#Headers],[≥ 100,000]],lettershopAddPricing[[#Headers],[≥ 1]:[≥ 150,000]],0))),2)</f>
        <v>46.86</v>
      </c>
      <c r="N107" s="62">
        <f>ROUND($D107*(1-INDEX(Table23[#All],MATCH($O107,Table23[[#All],[Discount Level]],0),MATCH(lettershopAddPricing[[#Headers],[≥ 150,000]],lettershopAddPricing[[#Headers],[≥ 1]:[≥ 150,000]],0))),2)</f>
        <v>44.83</v>
      </c>
      <c r="O107" s="66" t="s">
        <v>422</v>
      </c>
    </row>
    <row r="109" spans="1:15" ht="27" customHeight="1" x14ac:dyDescent="0.25">
      <c r="A109" s="299" t="s">
        <v>444</v>
      </c>
      <c r="B109" s="299"/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</row>
    <row r="110" spans="1:15" s="11" customFormat="1" ht="27" customHeight="1" x14ac:dyDescent="0.25">
      <c r="A110" s="307" t="s">
        <v>212</v>
      </c>
      <c r="B110" s="307" t="s">
        <v>233</v>
      </c>
      <c r="C110" s="88" t="s">
        <v>257</v>
      </c>
      <c r="D110" s="71" t="s">
        <v>400</v>
      </c>
      <c r="E110" s="71" t="s">
        <v>428</v>
      </c>
      <c r="F110" s="71" t="s">
        <v>401</v>
      </c>
      <c r="G110" s="71" t="s">
        <v>429</v>
      </c>
      <c r="H110" s="71" t="s">
        <v>402</v>
      </c>
      <c r="I110" s="71" t="s">
        <v>403</v>
      </c>
      <c r="J110" s="71" t="s">
        <v>430</v>
      </c>
      <c r="K110" s="71" t="s">
        <v>404</v>
      </c>
      <c r="L110" s="71" t="s">
        <v>405</v>
      </c>
      <c r="M110" s="71" t="s">
        <v>406</v>
      </c>
      <c r="N110" s="71" t="s">
        <v>407</v>
      </c>
      <c r="O110" s="77" t="s">
        <v>491</v>
      </c>
    </row>
    <row r="111" spans="1:15" ht="27" customHeight="1" x14ac:dyDescent="0.25">
      <c r="A111" s="316" t="s">
        <v>439</v>
      </c>
      <c r="B111" s="316" t="s">
        <v>819</v>
      </c>
      <c r="C111" s="63">
        <v>25</v>
      </c>
      <c r="D111" s="62">
        <v>30.5</v>
      </c>
      <c r="E111" s="62">
        <f>ROUND($D111*(1-INDEX(Table23[#All],MATCH($O111,Table23[[#All],[Discount Level]],0),MATCH(lettershopBuskroPricing[[#Headers],[≥ 5,000]],lettershopBuskroPricing[[#Headers],[≥ 1]:[≥ 150,000]],0))),2)</f>
        <v>28.21</v>
      </c>
      <c r="F111" s="62">
        <f>ROUND($D111*(1-INDEX(Table23[#All],MATCH($O111,Table23[[#All],[Discount Level]],0),MATCH(lettershopBuskroPricing[[#Headers],[≥ 10,000]],lettershopBuskroPricing[[#Headers],[≥ 1]:[≥ 150,000]],0))),2)</f>
        <v>26.69</v>
      </c>
      <c r="G111" s="62">
        <f>ROUND($D111*(1-INDEX(Table23[#All],MATCH($O111,Table23[[#All],[Discount Level]],0),MATCH(lettershopBuskroPricing[[#Headers],[≥ 15,000]],lettershopBuskroPricing[[#Headers],[≥ 1]:[≥ 150,000]],0))),2)</f>
        <v>25.16</v>
      </c>
      <c r="H111" s="62">
        <f>ROUND($D111*(1-INDEX(Table23[#All],MATCH($O111,Table23[[#All],[Discount Level]],0),MATCH(lettershopBuskroPricing[[#Headers],[≥ 20,000]],lettershopBuskroPricing[[#Headers],[≥ 1]:[≥ 150,000]],0))),2)</f>
        <v>24.4</v>
      </c>
      <c r="I111" s="62">
        <f>ROUND($D111*(1-INDEX(Table23[#All],MATCH($O111,Table23[[#All],[Discount Level]],0),MATCH(lettershopBuskroPricing[[#Headers],[≥ 25,000]],lettershopBuskroPricing[[#Headers],[≥ 1]:[≥ 150,000]],0))),2)</f>
        <v>22.88</v>
      </c>
      <c r="J111" s="62">
        <f>ROUND($D111*(1-INDEX(Table23[#All],MATCH($O111,Table23[[#All],[Discount Level]],0),MATCH(lettershopBuskroPricing[[#Headers],[≥ 35,000]],lettershopBuskroPricing[[#Headers],[≥ 1]:[≥ 150,000]],0))),2)</f>
        <v>21.35</v>
      </c>
      <c r="K111" s="62">
        <f>ROUND($D111*(1-INDEX(Table23[#All],MATCH($O111,Table23[[#All],[Discount Level]],0),MATCH(lettershopBuskroPricing[[#Headers],[≥ 50,000]],lettershopBuskroPricing[[#Headers],[≥ 1]:[≥ 150,000]],0))),2)</f>
        <v>19.829999999999998</v>
      </c>
      <c r="L111" s="62">
        <f>ROUND($D111*(1-INDEX(Table23[#All],MATCH($O111,Table23[[#All],[Discount Level]],0),MATCH(lettershopBuskroPricing[[#Headers],[≥ 75,000]],lettershopBuskroPricing[[#Headers],[≥ 1]:[≥ 150,000]],0))),2)</f>
        <v>18.3</v>
      </c>
      <c r="M111" s="62">
        <f>ROUND($D111*(1-INDEX(Table23[#All],MATCH($O111,Table23[[#All],[Discount Level]],0),MATCH(lettershopBuskroPricing[[#Headers],[≥ 100,000]],lettershopBuskroPricing[[#Headers],[≥ 1]:[≥ 150,000]],0))),2)</f>
        <v>17.54</v>
      </c>
      <c r="N111" s="62">
        <f>ROUND($D111*(1-INDEX(Table23[#All],MATCH($O111,Table23[[#All],[Discount Level]],0),MATCH(lettershopBuskroPricing[[#Headers],[≥ 150,000]],lettershopBuskroPricing[[#Headers],[≥ 1]:[≥ 150,000]],0))),2)</f>
        <v>16.78</v>
      </c>
      <c r="O111" s="66" t="s">
        <v>422</v>
      </c>
    </row>
    <row r="112" spans="1:15" ht="27" customHeight="1" x14ac:dyDescent="0.25">
      <c r="A112" s="316" t="s">
        <v>427</v>
      </c>
      <c r="B112" s="316" t="s">
        <v>820</v>
      </c>
      <c r="C112" s="63">
        <v>25</v>
      </c>
      <c r="D112" s="62">
        <v>30.5</v>
      </c>
      <c r="E112" s="62">
        <f>ROUND($D112*(1-INDEX(Table23[#All],MATCH($O112,Table23[[#All],[Discount Level]],0),MATCH(lettershopBuskroPricing[[#Headers],[≥ 5,000]],lettershopBuskroPricing[[#Headers],[≥ 1]:[≥ 150,000]],0))),2)</f>
        <v>28.21</v>
      </c>
      <c r="F112" s="62">
        <f>ROUND($D112*(1-INDEX(Table23[#All],MATCH($O112,Table23[[#All],[Discount Level]],0),MATCH(lettershopBuskroPricing[[#Headers],[≥ 10,000]],lettershopBuskroPricing[[#Headers],[≥ 1]:[≥ 150,000]],0))),2)</f>
        <v>26.69</v>
      </c>
      <c r="G112" s="62">
        <f>ROUND($D112*(1-INDEX(Table23[#All],MATCH($O112,Table23[[#All],[Discount Level]],0),MATCH(lettershopBuskroPricing[[#Headers],[≥ 15,000]],lettershopBuskroPricing[[#Headers],[≥ 1]:[≥ 150,000]],0))),2)</f>
        <v>25.16</v>
      </c>
      <c r="H112" s="62">
        <f>ROUND($D112*(1-INDEX(Table23[#All],MATCH($O112,Table23[[#All],[Discount Level]],0),MATCH(lettershopBuskroPricing[[#Headers],[≥ 20,000]],lettershopBuskroPricing[[#Headers],[≥ 1]:[≥ 150,000]],0))),2)</f>
        <v>24.4</v>
      </c>
      <c r="I112" s="62">
        <f>ROUND($D112*(1-INDEX(Table23[#All],MATCH($O112,Table23[[#All],[Discount Level]],0),MATCH(lettershopBuskroPricing[[#Headers],[≥ 25,000]],lettershopBuskroPricing[[#Headers],[≥ 1]:[≥ 150,000]],0))),2)</f>
        <v>22.88</v>
      </c>
      <c r="J112" s="62">
        <f>ROUND($D112*(1-INDEX(Table23[#All],MATCH($O112,Table23[[#All],[Discount Level]],0),MATCH(lettershopBuskroPricing[[#Headers],[≥ 35,000]],lettershopBuskroPricing[[#Headers],[≥ 1]:[≥ 150,000]],0))),2)</f>
        <v>21.35</v>
      </c>
      <c r="K112" s="62">
        <f>ROUND($D112*(1-INDEX(Table23[#All],MATCH($O112,Table23[[#All],[Discount Level]],0),MATCH(lettershopBuskroPricing[[#Headers],[≥ 50,000]],lettershopBuskroPricing[[#Headers],[≥ 1]:[≥ 150,000]],0))),2)</f>
        <v>19.829999999999998</v>
      </c>
      <c r="L112" s="62">
        <f>ROUND($D112*(1-INDEX(Table23[#All],MATCH($O112,Table23[[#All],[Discount Level]],0),MATCH(lettershopBuskroPricing[[#Headers],[≥ 75,000]],lettershopBuskroPricing[[#Headers],[≥ 1]:[≥ 150,000]],0))),2)</f>
        <v>18.3</v>
      </c>
      <c r="M112" s="62">
        <f>ROUND($D112*(1-INDEX(Table23[#All],MATCH($O112,Table23[[#All],[Discount Level]],0),MATCH(lettershopBuskroPricing[[#Headers],[≥ 100,000]],lettershopBuskroPricing[[#Headers],[≥ 1]:[≥ 150,000]],0))),2)</f>
        <v>17.54</v>
      </c>
      <c r="N112" s="62">
        <f>ROUND($D112*(1-INDEX(Table23[#All],MATCH($O112,Table23[[#All],[Discount Level]],0),MATCH(lettershopBuskroPricing[[#Headers],[≥ 150,000]],lettershopBuskroPricing[[#Headers],[≥ 1]:[≥ 150,000]],0))),2)</f>
        <v>16.78</v>
      </c>
      <c r="O112" s="66" t="s">
        <v>422</v>
      </c>
    </row>
    <row r="113" spans="1:15" ht="27" customHeight="1" x14ac:dyDescent="0.25">
      <c r="A113" s="316" t="s">
        <v>440</v>
      </c>
      <c r="B113" s="316" t="s">
        <v>821</v>
      </c>
      <c r="C113" s="63">
        <v>20</v>
      </c>
      <c r="D113" s="62">
        <v>20.5</v>
      </c>
      <c r="E113" s="62">
        <f>ROUND($D113*(1-INDEX(Table23[#All],MATCH($O113,Table23[[#All],[Discount Level]],0),MATCH(lettershopBuskroPricing[[#Headers],[≥ 5,000]],lettershopBuskroPricing[[#Headers],[≥ 1]:[≥ 150,000]],0))),2)</f>
        <v>18.96</v>
      </c>
      <c r="F113" s="62">
        <f>ROUND($D113*(1-INDEX(Table23[#All],MATCH($O113,Table23[[#All],[Discount Level]],0),MATCH(lettershopBuskroPricing[[#Headers],[≥ 10,000]],lettershopBuskroPricing[[#Headers],[≥ 1]:[≥ 150,000]],0))),2)</f>
        <v>17.940000000000001</v>
      </c>
      <c r="G113" s="62">
        <f>ROUND($D113*(1-INDEX(Table23[#All],MATCH($O113,Table23[[#All],[Discount Level]],0),MATCH(lettershopBuskroPricing[[#Headers],[≥ 15,000]],lettershopBuskroPricing[[#Headers],[≥ 1]:[≥ 150,000]],0))),2)</f>
        <v>16.91</v>
      </c>
      <c r="H113" s="62">
        <f>ROUND($D113*(1-INDEX(Table23[#All],MATCH($O113,Table23[[#All],[Discount Level]],0),MATCH(lettershopBuskroPricing[[#Headers],[≥ 20,000]],lettershopBuskroPricing[[#Headers],[≥ 1]:[≥ 150,000]],0))),2)</f>
        <v>16.399999999999999</v>
      </c>
      <c r="I113" s="62">
        <f>ROUND($D113*(1-INDEX(Table23[#All],MATCH($O113,Table23[[#All],[Discount Level]],0),MATCH(lettershopBuskroPricing[[#Headers],[≥ 25,000]],lettershopBuskroPricing[[#Headers],[≥ 1]:[≥ 150,000]],0))),2)</f>
        <v>15.38</v>
      </c>
      <c r="J113" s="62">
        <f>ROUND($D113*(1-INDEX(Table23[#All],MATCH($O113,Table23[[#All],[Discount Level]],0),MATCH(lettershopBuskroPricing[[#Headers],[≥ 35,000]],lettershopBuskroPricing[[#Headers],[≥ 1]:[≥ 150,000]],0))),2)</f>
        <v>14.35</v>
      </c>
      <c r="K113" s="62">
        <f>ROUND($D113*(1-INDEX(Table23[#All],MATCH($O113,Table23[[#All],[Discount Level]],0),MATCH(lettershopBuskroPricing[[#Headers],[≥ 50,000]],lettershopBuskroPricing[[#Headers],[≥ 1]:[≥ 150,000]],0))),2)</f>
        <v>13.33</v>
      </c>
      <c r="L113" s="62">
        <f>ROUND($D113*(1-INDEX(Table23[#All],MATCH($O113,Table23[[#All],[Discount Level]],0),MATCH(lettershopBuskroPricing[[#Headers],[≥ 75,000]],lettershopBuskroPricing[[#Headers],[≥ 1]:[≥ 150,000]],0))),2)</f>
        <v>12.3</v>
      </c>
      <c r="M113" s="62">
        <f>ROUND($D113*(1-INDEX(Table23[#All],MATCH($O113,Table23[[#All],[Discount Level]],0),MATCH(lettershopBuskroPricing[[#Headers],[≥ 100,000]],lettershopBuskroPricing[[#Headers],[≥ 1]:[≥ 150,000]],0))),2)</f>
        <v>11.79</v>
      </c>
      <c r="N113" s="62">
        <f>ROUND($D113*(1-INDEX(Table23[#All],MATCH($O113,Table23[[#All],[Discount Level]],0),MATCH(lettershopBuskroPricing[[#Headers],[≥ 150,000]],lettershopBuskroPricing[[#Headers],[≥ 1]:[≥ 150,000]],0))),2)</f>
        <v>11.28</v>
      </c>
      <c r="O113" s="66" t="s">
        <v>422</v>
      </c>
    </row>
    <row r="114" spans="1:15" ht="27" customHeight="1" x14ac:dyDescent="0.25">
      <c r="A114" s="316" t="s">
        <v>441</v>
      </c>
      <c r="B114" s="316" t="s">
        <v>822</v>
      </c>
      <c r="C114" s="63">
        <v>25</v>
      </c>
      <c r="D114" s="62">
        <v>25.5</v>
      </c>
      <c r="E114" s="62">
        <f>ROUND($D114*(1-INDEX(Table23[#All],MATCH($O114,Table23[[#All],[Discount Level]],0),MATCH(lettershopBuskroPricing[[#Headers],[≥ 5,000]],lettershopBuskroPricing[[#Headers],[≥ 1]:[≥ 150,000]],0))),2)</f>
        <v>23.59</v>
      </c>
      <c r="F114" s="62">
        <f>ROUND($D114*(1-INDEX(Table23[#All],MATCH($O114,Table23[[#All],[Discount Level]],0),MATCH(lettershopBuskroPricing[[#Headers],[≥ 10,000]],lettershopBuskroPricing[[#Headers],[≥ 1]:[≥ 150,000]],0))),2)</f>
        <v>22.31</v>
      </c>
      <c r="G114" s="62">
        <f>ROUND($D114*(1-INDEX(Table23[#All],MATCH($O114,Table23[[#All],[Discount Level]],0),MATCH(lettershopBuskroPricing[[#Headers],[≥ 15,000]],lettershopBuskroPricing[[#Headers],[≥ 1]:[≥ 150,000]],0))),2)</f>
        <v>21.04</v>
      </c>
      <c r="H114" s="62">
        <f>ROUND($D114*(1-INDEX(Table23[#All],MATCH($O114,Table23[[#All],[Discount Level]],0),MATCH(lettershopBuskroPricing[[#Headers],[≥ 20,000]],lettershopBuskroPricing[[#Headers],[≥ 1]:[≥ 150,000]],0))),2)</f>
        <v>20.399999999999999</v>
      </c>
      <c r="I114" s="62">
        <f>ROUND($D114*(1-INDEX(Table23[#All],MATCH($O114,Table23[[#All],[Discount Level]],0),MATCH(lettershopBuskroPricing[[#Headers],[≥ 25,000]],lettershopBuskroPricing[[#Headers],[≥ 1]:[≥ 150,000]],0))),2)</f>
        <v>19.13</v>
      </c>
      <c r="J114" s="62">
        <f>ROUND($D114*(1-INDEX(Table23[#All],MATCH($O114,Table23[[#All],[Discount Level]],0),MATCH(lettershopBuskroPricing[[#Headers],[≥ 35,000]],lettershopBuskroPricing[[#Headers],[≥ 1]:[≥ 150,000]],0))),2)</f>
        <v>17.850000000000001</v>
      </c>
      <c r="K114" s="62">
        <f>ROUND($D114*(1-INDEX(Table23[#All],MATCH($O114,Table23[[#All],[Discount Level]],0),MATCH(lettershopBuskroPricing[[#Headers],[≥ 50,000]],lettershopBuskroPricing[[#Headers],[≥ 1]:[≥ 150,000]],0))),2)</f>
        <v>16.579999999999998</v>
      </c>
      <c r="L114" s="62">
        <f>ROUND($D114*(1-INDEX(Table23[#All],MATCH($O114,Table23[[#All],[Discount Level]],0),MATCH(lettershopBuskroPricing[[#Headers],[≥ 75,000]],lettershopBuskroPricing[[#Headers],[≥ 1]:[≥ 150,000]],0))),2)</f>
        <v>15.3</v>
      </c>
      <c r="M114" s="62">
        <f>ROUND($D114*(1-INDEX(Table23[#All],MATCH($O114,Table23[[#All],[Discount Level]],0),MATCH(lettershopBuskroPricing[[#Headers],[≥ 100,000]],lettershopBuskroPricing[[#Headers],[≥ 1]:[≥ 150,000]],0))),2)</f>
        <v>14.66</v>
      </c>
      <c r="N114" s="62">
        <f>ROUND($D114*(1-INDEX(Table23[#All],MATCH($O114,Table23[[#All],[Discount Level]],0),MATCH(lettershopBuskroPricing[[#Headers],[≥ 150,000]],lettershopBuskroPricing[[#Headers],[≥ 1]:[≥ 150,000]],0))),2)</f>
        <v>14.03</v>
      </c>
      <c r="O114" s="66" t="s">
        <v>422</v>
      </c>
    </row>
    <row r="115" spans="1:15" ht="27" customHeight="1" x14ac:dyDescent="0.25">
      <c r="A115" s="316" t="s">
        <v>441</v>
      </c>
      <c r="B115" s="316" t="s">
        <v>823</v>
      </c>
      <c r="C115" s="63">
        <v>35</v>
      </c>
      <c r="D115" s="62">
        <v>30.5</v>
      </c>
      <c r="E115" s="62">
        <f>ROUND($D115*(1-INDEX(Table23[#All],MATCH($O115,Table23[[#All],[Discount Level]],0),MATCH(lettershopBuskroPricing[[#Headers],[≥ 5,000]],lettershopBuskroPricing[[#Headers],[≥ 1]:[≥ 150,000]],0))),2)</f>
        <v>28.21</v>
      </c>
      <c r="F115" s="62">
        <f>ROUND($D115*(1-INDEX(Table23[#All],MATCH($O115,Table23[[#All],[Discount Level]],0),MATCH(lettershopBuskroPricing[[#Headers],[≥ 10,000]],lettershopBuskroPricing[[#Headers],[≥ 1]:[≥ 150,000]],0))),2)</f>
        <v>26.69</v>
      </c>
      <c r="G115" s="62">
        <f>ROUND($D115*(1-INDEX(Table23[#All],MATCH($O115,Table23[[#All],[Discount Level]],0),MATCH(lettershopBuskroPricing[[#Headers],[≥ 15,000]],lettershopBuskroPricing[[#Headers],[≥ 1]:[≥ 150,000]],0))),2)</f>
        <v>25.16</v>
      </c>
      <c r="H115" s="62">
        <f>ROUND($D115*(1-INDEX(Table23[#All],MATCH($O115,Table23[[#All],[Discount Level]],0),MATCH(lettershopBuskroPricing[[#Headers],[≥ 20,000]],lettershopBuskroPricing[[#Headers],[≥ 1]:[≥ 150,000]],0))),2)</f>
        <v>24.4</v>
      </c>
      <c r="I115" s="62">
        <f>ROUND($D115*(1-INDEX(Table23[#All],MATCH($O115,Table23[[#All],[Discount Level]],0),MATCH(lettershopBuskroPricing[[#Headers],[≥ 25,000]],lettershopBuskroPricing[[#Headers],[≥ 1]:[≥ 150,000]],0))),2)</f>
        <v>22.88</v>
      </c>
      <c r="J115" s="62">
        <f>ROUND($D115*(1-INDEX(Table23[#All],MATCH($O115,Table23[[#All],[Discount Level]],0),MATCH(lettershopBuskroPricing[[#Headers],[≥ 35,000]],lettershopBuskroPricing[[#Headers],[≥ 1]:[≥ 150,000]],0))),2)</f>
        <v>21.35</v>
      </c>
      <c r="K115" s="62">
        <f>ROUND($D115*(1-INDEX(Table23[#All],MATCH($O115,Table23[[#All],[Discount Level]],0),MATCH(lettershopBuskroPricing[[#Headers],[≥ 50,000]],lettershopBuskroPricing[[#Headers],[≥ 1]:[≥ 150,000]],0))),2)</f>
        <v>19.829999999999998</v>
      </c>
      <c r="L115" s="62">
        <f>ROUND($D115*(1-INDEX(Table23[#All],MATCH($O115,Table23[[#All],[Discount Level]],0),MATCH(lettershopBuskroPricing[[#Headers],[≥ 75,000]],lettershopBuskroPricing[[#Headers],[≥ 1]:[≥ 150,000]],0))),2)</f>
        <v>18.3</v>
      </c>
      <c r="M115" s="62">
        <f>ROUND($D115*(1-INDEX(Table23[#All],MATCH($O115,Table23[[#All],[Discount Level]],0),MATCH(lettershopBuskroPricing[[#Headers],[≥ 100,000]],lettershopBuskroPricing[[#Headers],[≥ 1]:[≥ 150,000]],0))),2)</f>
        <v>17.54</v>
      </c>
      <c r="N115" s="62">
        <f>ROUND($D115*(1-INDEX(Table23[#All],MATCH($O115,Table23[[#All],[Discount Level]],0),MATCH(lettershopBuskroPricing[[#Headers],[≥ 150,000]],lettershopBuskroPricing[[#Headers],[≥ 1]:[≥ 150,000]],0))),2)</f>
        <v>16.78</v>
      </c>
      <c r="O115" s="66" t="s">
        <v>422</v>
      </c>
    </row>
    <row r="116" spans="1:15" ht="27" customHeight="1" x14ac:dyDescent="0.25">
      <c r="A116" s="316" t="s">
        <v>441</v>
      </c>
      <c r="B116" s="316" t="s">
        <v>824</v>
      </c>
      <c r="C116" s="63">
        <v>25</v>
      </c>
      <c r="D116" s="62">
        <v>25.5</v>
      </c>
      <c r="E116" s="62">
        <f>ROUND($D116*(1-INDEX(Table23[#All],MATCH($O116,Table23[[#All],[Discount Level]],0),MATCH(lettershopBuskroPricing[[#Headers],[≥ 5,000]],lettershopBuskroPricing[[#Headers],[≥ 1]:[≥ 150,000]],0))),2)</f>
        <v>23.59</v>
      </c>
      <c r="F116" s="62">
        <f>ROUND($D116*(1-INDEX(Table23[#All],MATCH($O116,Table23[[#All],[Discount Level]],0),MATCH(lettershopBuskroPricing[[#Headers],[≥ 10,000]],lettershopBuskroPricing[[#Headers],[≥ 1]:[≥ 150,000]],0))),2)</f>
        <v>22.31</v>
      </c>
      <c r="G116" s="62">
        <f>ROUND($D116*(1-INDEX(Table23[#All],MATCH($O116,Table23[[#All],[Discount Level]],0),MATCH(lettershopBuskroPricing[[#Headers],[≥ 15,000]],lettershopBuskroPricing[[#Headers],[≥ 1]:[≥ 150,000]],0))),2)</f>
        <v>21.04</v>
      </c>
      <c r="H116" s="62">
        <f>ROUND($D116*(1-INDEX(Table23[#All],MATCH($O116,Table23[[#All],[Discount Level]],0),MATCH(lettershopBuskroPricing[[#Headers],[≥ 20,000]],lettershopBuskroPricing[[#Headers],[≥ 1]:[≥ 150,000]],0))),2)</f>
        <v>20.399999999999999</v>
      </c>
      <c r="I116" s="62">
        <f>ROUND($D116*(1-INDEX(Table23[#All],MATCH($O116,Table23[[#All],[Discount Level]],0),MATCH(lettershopBuskroPricing[[#Headers],[≥ 25,000]],lettershopBuskroPricing[[#Headers],[≥ 1]:[≥ 150,000]],0))),2)</f>
        <v>19.13</v>
      </c>
      <c r="J116" s="62">
        <f>ROUND($D116*(1-INDEX(Table23[#All],MATCH($O116,Table23[[#All],[Discount Level]],0),MATCH(lettershopBuskroPricing[[#Headers],[≥ 35,000]],lettershopBuskroPricing[[#Headers],[≥ 1]:[≥ 150,000]],0))),2)</f>
        <v>17.850000000000001</v>
      </c>
      <c r="K116" s="62">
        <f>ROUND($D116*(1-INDEX(Table23[#All],MATCH($O116,Table23[[#All],[Discount Level]],0),MATCH(lettershopBuskroPricing[[#Headers],[≥ 50,000]],lettershopBuskroPricing[[#Headers],[≥ 1]:[≥ 150,000]],0))),2)</f>
        <v>16.579999999999998</v>
      </c>
      <c r="L116" s="62">
        <f>ROUND($D116*(1-INDEX(Table23[#All],MATCH($O116,Table23[[#All],[Discount Level]],0),MATCH(lettershopBuskroPricing[[#Headers],[≥ 75,000]],lettershopBuskroPricing[[#Headers],[≥ 1]:[≥ 150,000]],0))),2)</f>
        <v>15.3</v>
      </c>
      <c r="M116" s="62">
        <f>ROUND($D116*(1-INDEX(Table23[#All],MATCH($O116,Table23[[#All],[Discount Level]],0),MATCH(lettershopBuskroPricing[[#Headers],[≥ 100,000]],lettershopBuskroPricing[[#Headers],[≥ 1]:[≥ 150,000]],0))),2)</f>
        <v>14.66</v>
      </c>
      <c r="N116" s="62">
        <f>ROUND($D116*(1-INDEX(Table23[#All],MATCH($O116,Table23[[#All],[Discount Level]],0),MATCH(lettershopBuskroPricing[[#Headers],[≥ 150,000]],lettershopBuskroPricing[[#Headers],[≥ 1]:[≥ 150,000]],0))),2)</f>
        <v>14.03</v>
      </c>
      <c r="O116" s="66" t="s">
        <v>422</v>
      </c>
    </row>
    <row r="117" spans="1:15" ht="27" customHeight="1" x14ac:dyDescent="0.25">
      <c r="A117" s="316" t="s">
        <v>441</v>
      </c>
      <c r="B117" s="316" t="s">
        <v>825</v>
      </c>
      <c r="C117" s="63">
        <v>35</v>
      </c>
      <c r="D117" s="62">
        <v>41</v>
      </c>
      <c r="E117" s="62">
        <f>ROUND($D117*(1-INDEX(Table23[#All],MATCH($O117,Table23[[#All],[Discount Level]],0),MATCH(lettershopBuskroPricing[[#Headers],[≥ 5,000]],lettershopBuskroPricing[[#Headers],[≥ 1]:[≥ 150,000]],0))),2)</f>
        <v>37.93</v>
      </c>
      <c r="F117" s="62">
        <f>ROUND($D117*(1-INDEX(Table23[#All],MATCH($O117,Table23[[#All],[Discount Level]],0),MATCH(lettershopBuskroPricing[[#Headers],[≥ 10,000]],lettershopBuskroPricing[[#Headers],[≥ 1]:[≥ 150,000]],0))),2)</f>
        <v>35.880000000000003</v>
      </c>
      <c r="G117" s="62">
        <f>ROUND($D117*(1-INDEX(Table23[#All],MATCH($O117,Table23[[#All],[Discount Level]],0),MATCH(lettershopBuskroPricing[[#Headers],[≥ 15,000]],lettershopBuskroPricing[[#Headers],[≥ 1]:[≥ 150,000]],0))),2)</f>
        <v>33.83</v>
      </c>
      <c r="H117" s="62">
        <f>ROUND($D117*(1-INDEX(Table23[#All],MATCH($O117,Table23[[#All],[Discount Level]],0),MATCH(lettershopBuskroPricing[[#Headers],[≥ 20,000]],lettershopBuskroPricing[[#Headers],[≥ 1]:[≥ 150,000]],0))),2)</f>
        <v>32.799999999999997</v>
      </c>
      <c r="I117" s="62">
        <f>ROUND($D117*(1-INDEX(Table23[#All],MATCH($O117,Table23[[#All],[Discount Level]],0),MATCH(lettershopBuskroPricing[[#Headers],[≥ 25,000]],lettershopBuskroPricing[[#Headers],[≥ 1]:[≥ 150,000]],0))),2)</f>
        <v>30.75</v>
      </c>
      <c r="J117" s="62">
        <f>ROUND($D117*(1-INDEX(Table23[#All],MATCH($O117,Table23[[#All],[Discount Level]],0),MATCH(lettershopBuskroPricing[[#Headers],[≥ 35,000]],lettershopBuskroPricing[[#Headers],[≥ 1]:[≥ 150,000]],0))),2)</f>
        <v>28.7</v>
      </c>
      <c r="K117" s="62">
        <f>ROUND($D117*(1-INDEX(Table23[#All],MATCH($O117,Table23[[#All],[Discount Level]],0),MATCH(lettershopBuskroPricing[[#Headers],[≥ 50,000]],lettershopBuskroPricing[[#Headers],[≥ 1]:[≥ 150,000]],0))),2)</f>
        <v>26.65</v>
      </c>
      <c r="L117" s="62">
        <f>ROUND($D117*(1-INDEX(Table23[#All],MATCH($O117,Table23[[#All],[Discount Level]],0),MATCH(lettershopBuskroPricing[[#Headers],[≥ 75,000]],lettershopBuskroPricing[[#Headers],[≥ 1]:[≥ 150,000]],0))),2)</f>
        <v>24.6</v>
      </c>
      <c r="M117" s="62">
        <f>ROUND($D117*(1-INDEX(Table23[#All],MATCH($O117,Table23[[#All],[Discount Level]],0),MATCH(lettershopBuskroPricing[[#Headers],[≥ 100,000]],lettershopBuskroPricing[[#Headers],[≥ 1]:[≥ 150,000]],0))),2)</f>
        <v>23.58</v>
      </c>
      <c r="N117" s="62">
        <f>ROUND($D117*(1-INDEX(Table23[#All],MATCH($O117,Table23[[#All],[Discount Level]],0),MATCH(lettershopBuskroPricing[[#Headers],[≥ 150,000]],lettershopBuskroPricing[[#Headers],[≥ 1]:[≥ 150,000]],0))),2)</f>
        <v>22.55</v>
      </c>
      <c r="O117" s="66" t="s">
        <v>422</v>
      </c>
    </row>
    <row r="118" spans="1:15" ht="27" customHeight="1" x14ac:dyDescent="0.25">
      <c r="A118" s="316" t="s">
        <v>441</v>
      </c>
      <c r="B118" s="316" t="s">
        <v>826</v>
      </c>
      <c r="C118" s="63">
        <v>45</v>
      </c>
      <c r="D118" s="62">
        <v>51</v>
      </c>
      <c r="E118" s="62">
        <f>ROUND($D118*(1-INDEX(Table23[#All],MATCH($O118,Table23[[#All],[Discount Level]],0),MATCH(lettershopBuskroPricing[[#Headers],[≥ 5,000]],lettershopBuskroPricing[[#Headers],[≥ 1]:[≥ 150,000]],0))),2)</f>
        <v>47.18</v>
      </c>
      <c r="F118" s="62">
        <f>ROUND($D118*(1-INDEX(Table23[#All],MATCH($O118,Table23[[#All],[Discount Level]],0),MATCH(lettershopBuskroPricing[[#Headers],[≥ 10,000]],lettershopBuskroPricing[[#Headers],[≥ 1]:[≥ 150,000]],0))),2)</f>
        <v>44.63</v>
      </c>
      <c r="G118" s="62">
        <f>ROUND($D118*(1-INDEX(Table23[#All],MATCH($O118,Table23[[#All],[Discount Level]],0),MATCH(lettershopBuskroPricing[[#Headers],[≥ 15,000]],lettershopBuskroPricing[[#Headers],[≥ 1]:[≥ 150,000]],0))),2)</f>
        <v>42.08</v>
      </c>
      <c r="H118" s="62">
        <f>ROUND($D118*(1-INDEX(Table23[#All],MATCH($O118,Table23[[#All],[Discount Level]],0),MATCH(lettershopBuskroPricing[[#Headers],[≥ 20,000]],lettershopBuskroPricing[[#Headers],[≥ 1]:[≥ 150,000]],0))),2)</f>
        <v>40.799999999999997</v>
      </c>
      <c r="I118" s="62">
        <f>ROUND($D118*(1-INDEX(Table23[#All],MATCH($O118,Table23[[#All],[Discount Level]],0),MATCH(lettershopBuskroPricing[[#Headers],[≥ 25,000]],lettershopBuskroPricing[[#Headers],[≥ 1]:[≥ 150,000]],0))),2)</f>
        <v>38.25</v>
      </c>
      <c r="J118" s="62">
        <f>ROUND($D118*(1-INDEX(Table23[#All],MATCH($O118,Table23[[#All],[Discount Level]],0),MATCH(lettershopBuskroPricing[[#Headers],[≥ 35,000]],lettershopBuskroPricing[[#Headers],[≥ 1]:[≥ 150,000]],0))),2)</f>
        <v>35.700000000000003</v>
      </c>
      <c r="K118" s="62">
        <f>ROUND($D118*(1-INDEX(Table23[#All],MATCH($O118,Table23[[#All],[Discount Level]],0),MATCH(lettershopBuskroPricing[[#Headers],[≥ 50,000]],lettershopBuskroPricing[[#Headers],[≥ 1]:[≥ 150,000]],0))),2)</f>
        <v>33.15</v>
      </c>
      <c r="L118" s="62">
        <f>ROUND($D118*(1-INDEX(Table23[#All],MATCH($O118,Table23[[#All],[Discount Level]],0),MATCH(lettershopBuskroPricing[[#Headers],[≥ 75,000]],lettershopBuskroPricing[[#Headers],[≥ 1]:[≥ 150,000]],0))),2)</f>
        <v>30.6</v>
      </c>
      <c r="M118" s="62">
        <f>ROUND($D118*(1-INDEX(Table23[#All],MATCH($O118,Table23[[#All],[Discount Level]],0),MATCH(lettershopBuskroPricing[[#Headers],[≥ 100,000]],lettershopBuskroPricing[[#Headers],[≥ 1]:[≥ 150,000]],0))),2)</f>
        <v>29.33</v>
      </c>
      <c r="N118" s="62">
        <f>ROUND($D118*(1-INDEX(Table23[#All],MATCH($O118,Table23[[#All],[Discount Level]],0),MATCH(lettershopBuskroPricing[[#Headers],[≥ 150,000]],lettershopBuskroPricing[[#Headers],[≥ 1]:[≥ 150,000]],0))),2)</f>
        <v>28.05</v>
      </c>
      <c r="O118" s="66" t="s">
        <v>422</v>
      </c>
    </row>
    <row r="119" spans="1:15" ht="27" customHeight="1" x14ac:dyDescent="0.25">
      <c r="A119" s="316" t="s">
        <v>441</v>
      </c>
      <c r="B119" s="316" t="s">
        <v>827</v>
      </c>
      <c r="C119" s="63">
        <v>55</v>
      </c>
      <c r="D119" s="62">
        <v>51</v>
      </c>
      <c r="E119" s="62">
        <f>ROUND($D119*(1-INDEX(Table23[#All],MATCH($O119,Table23[[#All],[Discount Level]],0),MATCH(lettershopBuskroPricing[[#Headers],[≥ 5,000]],lettershopBuskroPricing[[#Headers],[≥ 1]:[≥ 150,000]],0))),2)</f>
        <v>47.18</v>
      </c>
      <c r="F119" s="62">
        <f>ROUND($D119*(1-INDEX(Table23[#All],MATCH($O119,Table23[[#All],[Discount Level]],0),MATCH(lettershopBuskroPricing[[#Headers],[≥ 10,000]],lettershopBuskroPricing[[#Headers],[≥ 1]:[≥ 150,000]],0))),2)</f>
        <v>44.63</v>
      </c>
      <c r="G119" s="62">
        <f>ROUND($D119*(1-INDEX(Table23[#All],MATCH($O119,Table23[[#All],[Discount Level]],0),MATCH(lettershopBuskroPricing[[#Headers],[≥ 15,000]],lettershopBuskroPricing[[#Headers],[≥ 1]:[≥ 150,000]],0))),2)</f>
        <v>42.08</v>
      </c>
      <c r="H119" s="62">
        <f>ROUND($D119*(1-INDEX(Table23[#All],MATCH($O119,Table23[[#All],[Discount Level]],0),MATCH(lettershopBuskroPricing[[#Headers],[≥ 20,000]],lettershopBuskroPricing[[#Headers],[≥ 1]:[≥ 150,000]],0))),2)</f>
        <v>40.799999999999997</v>
      </c>
      <c r="I119" s="62">
        <f>ROUND($D119*(1-INDEX(Table23[#All],MATCH($O119,Table23[[#All],[Discount Level]],0),MATCH(lettershopBuskroPricing[[#Headers],[≥ 25,000]],lettershopBuskroPricing[[#Headers],[≥ 1]:[≥ 150,000]],0))),2)</f>
        <v>38.25</v>
      </c>
      <c r="J119" s="62">
        <f>ROUND($D119*(1-INDEX(Table23[#All],MATCH($O119,Table23[[#All],[Discount Level]],0),MATCH(lettershopBuskroPricing[[#Headers],[≥ 35,000]],lettershopBuskroPricing[[#Headers],[≥ 1]:[≥ 150,000]],0))),2)</f>
        <v>35.700000000000003</v>
      </c>
      <c r="K119" s="62">
        <f>ROUND($D119*(1-INDEX(Table23[#All],MATCH($O119,Table23[[#All],[Discount Level]],0),MATCH(lettershopBuskroPricing[[#Headers],[≥ 50,000]],lettershopBuskroPricing[[#Headers],[≥ 1]:[≥ 150,000]],0))),2)</f>
        <v>33.15</v>
      </c>
      <c r="L119" s="62">
        <f>ROUND($D119*(1-INDEX(Table23[#All],MATCH($O119,Table23[[#All],[Discount Level]],0),MATCH(lettershopBuskroPricing[[#Headers],[≥ 75,000]],lettershopBuskroPricing[[#Headers],[≥ 1]:[≥ 150,000]],0))),2)</f>
        <v>30.6</v>
      </c>
      <c r="M119" s="62">
        <f>ROUND($D119*(1-INDEX(Table23[#All],MATCH($O119,Table23[[#All],[Discount Level]],0),MATCH(lettershopBuskroPricing[[#Headers],[≥ 100,000]],lettershopBuskroPricing[[#Headers],[≥ 1]:[≥ 150,000]],0))),2)</f>
        <v>29.33</v>
      </c>
      <c r="N119" s="62">
        <f>ROUND($D119*(1-INDEX(Table23[#All],MATCH($O119,Table23[[#All],[Discount Level]],0),MATCH(lettershopBuskroPricing[[#Headers],[≥ 150,000]],lettershopBuskroPricing[[#Headers],[≥ 1]:[≥ 150,000]],0))),2)</f>
        <v>28.05</v>
      </c>
      <c r="O119" s="66" t="s">
        <v>422</v>
      </c>
    </row>
    <row r="120" spans="1:15" ht="27" customHeight="1" x14ac:dyDescent="0.25">
      <c r="A120" s="316" t="s">
        <v>441</v>
      </c>
      <c r="B120" s="316" t="s">
        <v>828</v>
      </c>
      <c r="C120" s="63">
        <v>60</v>
      </c>
      <c r="D120" s="62">
        <v>66.5</v>
      </c>
      <c r="E120" s="62">
        <f>ROUND($D120*(1-INDEX(Table23[#All],MATCH($O120,Table23[[#All],[Discount Level]],0),MATCH(lettershopBuskroPricing[[#Headers],[≥ 5,000]],lettershopBuskroPricing[[#Headers],[≥ 1]:[≥ 150,000]],0))),2)</f>
        <v>61.51</v>
      </c>
      <c r="F120" s="62">
        <f>ROUND($D120*(1-INDEX(Table23[#All],MATCH($O120,Table23[[#All],[Discount Level]],0),MATCH(lettershopBuskroPricing[[#Headers],[≥ 10,000]],lettershopBuskroPricing[[#Headers],[≥ 1]:[≥ 150,000]],0))),2)</f>
        <v>58.19</v>
      </c>
      <c r="G120" s="62">
        <f>ROUND($D120*(1-INDEX(Table23[#All],MATCH($O120,Table23[[#All],[Discount Level]],0),MATCH(lettershopBuskroPricing[[#Headers],[≥ 15,000]],lettershopBuskroPricing[[#Headers],[≥ 1]:[≥ 150,000]],0))),2)</f>
        <v>54.86</v>
      </c>
      <c r="H120" s="62">
        <f>ROUND($D120*(1-INDEX(Table23[#All],MATCH($O120,Table23[[#All],[Discount Level]],0),MATCH(lettershopBuskroPricing[[#Headers],[≥ 20,000]],lettershopBuskroPricing[[#Headers],[≥ 1]:[≥ 150,000]],0))),2)</f>
        <v>53.2</v>
      </c>
      <c r="I120" s="62">
        <f>ROUND($D120*(1-INDEX(Table23[#All],MATCH($O120,Table23[[#All],[Discount Level]],0),MATCH(lettershopBuskroPricing[[#Headers],[≥ 25,000]],lettershopBuskroPricing[[#Headers],[≥ 1]:[≥ 150,000]],0))),2)</f>
        <v>49.88</v>
      </c>
      <c r="J120" s="62">
        <f>ROUND($D120*(1-INDEX(Table23[#All],MATCH($O120,Table23[[#All],[Discount Level]],0),MATCH(lettershopBuskroPricing[[#Headers],[≥ 35,000]],lettershopBuskroPricing[[#Headers],[≥ 1]:[≥ 150,000]],0))),2)</f>
        <v>46.55</v>
      </c>
      <c r="K120" s="62">
        <f>ROUND($D120*(1-INDEX(Table23[#All],MATCH($O120,Table23[[#All],[Discount Level]],0),MATCH(lettershopBuskroPricing[[#Headers],[≥ 50,000]],lettershopBuskroPricing[[#Headers],[≥ 1]:[≥ 150,000]],0))),2)</f>
        <v>43.23</v>
      </c>
      <c r="L120" s="62">
        <f>ROUND($D120*(1-INDEX(Table23[#All],MATCH($O120,Table23[[#All],[Discount Level]],0),MATCH(lettershopBuskroPricing[[#Headers],[≥ 75,000]],lettershopBuskroPricing[[#Headers],[≥ 1]:[≥ 150,000]],0))),2)</f>
        <v>39.9</v>
      </c>
      <c r="M120" s="62">
        <f>ROUND($D120*(1-INDEX(Table23[#All],MATCH($O120,Table23[[#All],[Discount Level]],0),MATCH(lettershopBuskroPricing[[#Headers],[≥ 100,000]],lettershopBuskroPricing[[#Headers],[≥ 1]:[≥ 150,000]],0))),2)</f>
        <v>38.24</v>
      </c>
      <c r="N120" s="62">
        <f>ROUND($D120*(1-INDEX(Table23[#All],MATCH($O120,Table23[[#All],[Discount Level]],0),MATCH(lettershopBuskroPricing[[#Headers],[≥ 150,000]],lettershopBuskroPricing[[#Headers],[≥ 1]:[≥ 150,000]],0))),2)</f>
        <v>36.58</v>
      </c>
      <c r="O120" s="66" t="s">
        <v>422</v>
      </c>
    </row>
    <row r="121" spans="1:15" ht="27" customHeight="1" x14ac:dyDescent="0.25">
      <c r="A121" s="316" t="s">
        <v>441</v>
      </c>
      <c r="B121" s="316" t="s">
        <v>829</v>
      </c>
      <c r="C121" s="63">
        <v>65</v>
      </c>
      <c r="D121" s="62">
        <v>92</v>
      </c>
      <c r="E121" s="62">
        <f>ROUND($D121*(1-INDEX(Table23[#All],MATCH($O121,Table23[[#All],[Discount Level]],0),MATCH(lettershopBuskroPricing[[#Headers],[≥ 5,000]],lettershopBuskroPricing[[#Headers],[≥ 1]:[≥ 150,000]],0))),2)</f>
        <v>85.1</v>
      </c>
      <c r="F121" s="62">
        <f>ROUND($D121*(1-INDEX(Table23[#All],MATCH($O121,Table23[[#All],[Discount Level]],0),MATCH(lettershopBuskroPricing[[#Headers],[≥ 10,000]],lettershopBuskroPricing[[#Headers],[≥ 1]:[≥ 150,000]],0))),2)</f>
        <v>80.5</v>
      </c>
      <c r="G121" s="62">
        <f>ROUND($D121*(1-INDEX(Table23[#All],MATCH($O121,Table23[[#All],[Discount Level]],0),MATCH(lettershopBuskroPricing[[#Headers],[≥ 15,000]],lettershopBuskroPricing[[#Headers],[≥ 1]:[≥ 150,000]],0))),2)</f>
        <v>75.900000000000006</v>
      </c>
      <c r="H121" s="62">
        <f>ROUND($D121*(1-INDEX(Table23[#All],MATCH($O121,Table23[[#All],[Discount Level]],0),MATCH(lettershopBuskroPricing[[#Headers],[≥ 20,000]],lettershopBuskroPricing[[#Headers],[≥ 1]:[≥ 150,000]],0))),2)</f>
        <v>73.599999999999994</v>
      </c>
      <c r="I121" s="62">
        <f>ROUND($D121*(1-INDEX(Table23[#All],MATCH($O121,Table23[[#All],[Discount Level]],0),MATCH(lettershopBuskroPricing[[#Headers],[≥ 25,000]],lettershopBuskroPricing[[#Headers],[≥ 1]:[≥ 150,000]],0))),2)</f>
        <v>69</v>
      </c>
      <c r="J121" s="62">
        <f>ROUND($D121*(1-INDEX(Table23[#All],MATCH($O121,Table23[[#All],[Discount Level]],0),MATCH(lettershopBuskroPricing[[#Headers],[≥ 35,000]],lettershopBuskroPricing[[#Headers],[≥ 1]:[≥ 150,000]],0))),2)</f>
        <v>64.400000000000006</v>
      </c>
      <c r="K121" s="62">
        <f>ROUND($D121*(1-INDEX(Table23[#All],MATCH($O121,Table23[[#All],[Discount Level]],0),MATCH(lettershopBuskroPricing[[#Headers],[≥ 50,000]],lettershopBuskroPricing[[#Headers],[≥ 1]:[≥ 150,000]],0))),2)</f>
        <v>59.8</v>
      </c>
      <c r="L121" s="62">
        <f>ROUND($D121*(1-INDEX(Table23[#All],MATCH($O121,Table23[[#All],[Discount Level]],0),MATCH(lettershopBuskroPricing[[#Headers],[≥ 75,000]],lettershopBuskroPricing[[#Headers],[≥ 1]:[≥ 150,000]],0))),2)</f>
        <v>55.2</v>
      </c>
      <c r="M121" s="62">
        <f>ROUND($D121*(1-INDEX(Table23[#All],MATCH($O121,Table23[[#All],[Discount Level]],0),MATCH(lettershopBuskroPricing[[#Headers],[≥ 100,000]],lettershopBuskroPricing[[#Headers],[≥ 1]:[≥ 150,000]],0))),2)</f>
        <v>52.9</v>
      </c>
      <c r="N121" s="62">
        <f>ROUND($D121*(1-INDEX(Table23[#All],MATCH($O121,Table23[[#All],[Discount Level]],0),MATCH(lettershopBuskroPricing[[#Headers],[≥ 150,000]],lettershopBuskroPricing[[#Headers],[≥ 1]:[≥ 150,000]],0))),2)</f>
        <v>50.6</v>
      </c>
      <c r="O121" s="66" t="s">
        <v>422</v>
      </c>
    </row>
    <row r="122" spans="1:15" ht="27" customHeight="1" x14ac:dyDescent="0.25">
      <c r="A122" s="316" t="s">
        <v>442</v>
      </c>
      <c r="B122" s="316" t="s">
        <v>830</v>
      </c>
      <c r="C122" s="63">
        <v>25</v>
      </c>
      <c r="D122" s="62">
        <v>25.5</v>
      </c>
      <c r="E122" s="62">
        <f>ROUND($D122*(1-INDEX(Table23[#All],MATCH($O122,Table23[[#All],[Discount Level]],0),MATCH(lettershopBuskroPricing[[#Headers],[≥ 5,000]],lettershopBuskroPricing[[#Headers],[≥ 1]:[≥ 150,000]],0))),2)</f>
        <v>23.59</v>
      </c>
      <c r="F122" s="62">
        <f>ROUND($D122*(1-INDEX(Table23[#All],MATCH($O122,Table23[[#All],[Discount Level]],0),MATCH(lettershopBuskroPricing[[#Headers],[≥ 10,000]],lettershopBuskroPricing[[#Headers],[≥ 1]:[≥ 150,000]],0))),2)</f>
        <v>22.31</v>
      </c>
      <c r="G122" s="62">
        <f>ROUND($D122*(1-INDEX(Table23[#All],MATCH($O122,Table23[[#All],[Discount Level]],0),MATCH(lettershopBuskroPricing[[#Headers],[≥ 15,000]],lettershopBuskroPricing[[#Headers],[≥ 1]:[≥ 150,000]],0))),2)</f>
        <v>21.04</v>
      </c>
      <c r="H122" s="62">
        <f>ROUND($D122*(1-INDEX(Table23[#All],MATCH($O122,Table23[[#All],[Discount Level]],0),MATCH(lettershopBuskroPricing[[#Headers],[≥ 20,000]],lettershopBuskroPricing[[#Headers],[≥ 1]:[≥ 150,000]],0))),2)</f>
        <v>20.399999999999999</v>
      </c>
      <c r="I122" s="62">
        <f>ROUND($D122*(1-INDEX(Table23[#All],MATCH($O122,Table23[[#All],[Discount Level]],0),MATCH(lettershopBuskroPricing[[#Headers],[≥ 25,000]],lettershopBuskroPricing[[#Headers],[≥ 1]:[≥ 150,000]],0))),2)</f>
        <v>19.13</v>
      </c>
      <c r="J122" s="62">
        <f>ROUND($D122*(1-INDEX(Table23[#All],MATCH($O122,Table23[[#All],[Discount Level]],0),MATCH(lettershopBuskroPricing[[#Headers],[≥ 35,000]],lettershopBuskroPricing[[#Headers],[≥ 1]:[≥ 150,000]],0))),2)</f>
        <v>17.850000000000001</v>
      </c>
      <c r="K122" s="62">
        <f>ROUND($D122*(1-INDEX(Table23[#All],MATCH($O122,Table23[[#All],[Discount Level]],0),MATCH(lettershopBuskroPricing[[#Headers],[≥ 50,000]],lettershopBuskroPricing[[#Headers],[≥ 1]:[≥ 150,000]],0))),2)</f>
        <v>16.579999999999998</v>
      </c>
      <c r="L122" s="62">
        <f>ROUND($D122*(1-INDEX(Table23[#All],MATCH($O122,Table23[[#All],[Discount Level]],0),MATCH(lettershopBuskroPricing[[#Headers],[≥ 75,000]],lettershopBuskroPricing[[#Headers],[≥ 1]:[≥ 150,000]],0))),2)</f>
        <v>15.3</v>
      </c>
      <c r="M122" s="62">
        <f>ROUND($D122*(1-INDEX(Table23[#All],MATCH($O122,Table23[[#All],[Discount Level]],0),MATCH(lettershopBuskroPricing[[#Headers],[≥ 100,000]],lettershopBuskroPricing[[#Headers],[≥ 1]:[≥ 150,000]],0))),2)</f>
        <v>14.66</v>
      </c>
      <c r="N122" s="62">
        <f>ROUND($D122*(1-INDEX(Table23[#All],MATCH($O122,Table23[[#All],[Discount Level]],0),MATCH(lettershopBuskroPricing[[#Headers],[≥ 150,000]],lettershopBuskroPricing[[#Headers],[≥ 1]:[≥ 150,000]],0))),2)</f>
        <v>14.03</v>
      </c>
      <c r="O122" s="66" t="s">
        <v>422</v>
      </c>
    </row>
    <row r="123" spans="1:15" ht="27" customHeight="1" x14ac:dyDescent="0.25">
      <c r="A123" s="316" t="s">
        <v>443</v>
      </c>
      <c r="B123" s="316" t="s">
        <v>831</v>
      </c>
      <c r="C123" s="63">
        <v>25</v>
      </c>
      <c r="D123" s="62">
        <v>30.5</v>
      </c>
      <c r="E123" s="62">
        <f>ROUND($D123*(1-INDEX(Table23[#All],MATCH($O123,Table23[[#All],[Discount Level]],0),MATCH(lettershopBuskroPricing[[#Headers],[≥ 5,000]],lettershopBuskroPricing[[#Headers],[≥ 1]:[≥ 150,000]],0))),2)</f>
        <v>28.21</v>
      </c>
      <c r="F123" s="62">
        <f>ROUND($D123*(1-INDEX(Table23[#All],MATCH($O123,Table23[[#All],[Discount Level]],0),MATCH(lettershopBuskroPricing[[#Headers],[≥ 10,000]],lettershopBuskroPricing[[#Headers],[≥ 1]:[≥ 150,000]],0))),2)</f>
        <v>26.69</v>
      </c>
      <c r="G123" s="62">
        <f>ROUND($D123*(1-INDEX(Table23[#All],MATCH($O123,Table23[[#All],[Discount Level]],0),MATCH(lettershopBuskroPricing[[#Headers],[≥ 15,000]],lettershopBuskroPricing[[#Headers],[≥ 1]:[≥ 150,000]],0))),2)</f>
        <v>25.16</v>
      </c>
      <c r="H123" s="62">
        <f>ROUND($D123*(1-INDEX(Table23[#All],MATCH($O123,Table23[[#All],[Discount Level]],0),MATCH(lettershopBuskroPricing[[#Headers],[≥ 20,000]],lettershopBuskroPricing[[#Headers],[≥ 1]:[≥ 150,000]],0))),2)</f>
        <v>24.4</v>
      </c>
      <c r="I123" s="62">
        <f>ROUND($D123*(1-INDEX(Table23[#All],MATCH($O123,Table23[[#All],[Discount Level]],0),MATCH(lettershopBuskroPricing[[#Headers],[≥ 25,000]],lettershopBuskroPricing[[#Headers],[≥ 1]:[≥ 150,000]],0))),2)</f>
        <v>22.88</v>
      </c>
      <c r="J123" s="62">
        <f>ROUND($D123*(1-INDEX(Table23[#All],MATCH($O123,Table23[[#All],[Discount Level]],0),MATCH(lettershopBuskroPricing[[#Headers],[≥ 35,000]],lettershopBuskroPricing[[#Headers],[≥ 1]:[≥ 150,000]],0))),2)</f>
        <v>21.35</v>
      </c>
      <c r="K123" s="62">
        <f>ROUND($D123*(1-INDEX(Table23[#All],MATCH($O123,Table23[[#All],[Discount Level]],0),MATCH(lettershopBuskroPricing[[#Headers],[≥ 50,000]],lettershopBuskroPricing[[#Headers],[≥ 1]:[≥ 150,000]],0))),2)</f>
        <v>19.829999999999998</v>
      </c>
      <c r="L123" s="62">
        <f>ROUND($D123*(1-INDEX(Table23[#All],MATCH($O123,Table23[[#All],[Discount Level]],0),MATCH(lettershopBuskroPricing[[#Headers],[≥ 75,000]],lettershopBuskroPricing[[#Headers],[≥ 1]:[≥ 150,000]],0))),2)</f>
        <v>18.3</v>
      </c>
      <c r="M123" s="62">
        <f>ROUND($D123*(1-INDEX(Table23[#All],MATCH($O123,Table23[[#All],[Discount Level]],0),MATCH(lettershopBuskroPricing[[#Headers],[≥ 100,000]],lettershopBuskroPricing[[#Headers],[≥ 1]:[≥ 150,000]],0))),2)</f>
        <v>17.54</v>
      </c>
      <c r="N123" s="62">
        <f>ROUND($D123*(1-INDEX(Table23[#All],MATCH($O123,Table23[[#All],[Discount Level]],0),MATCH(lettershopBuskroPricing[[#Headers],[≥ 150,000]],lettershopBuskroPricing[[#Headers],[≥ 1]:[≥ 150,000]],0))),2)</f>
        <v>16.78</v>
      </c>
      <c r="O123" s="66" t="s">
        <v>422</v>
      </c>
    </row>
    <row r="125" spans="1:15" ht="27" customHeight="1" x14ac:dyDescent="0.25">
      <c r="A125" s="299" t="s">
        <v>468</v>
      </c>
      <c r="B125" s="299"/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</row>
    <row r="126" spans="1:15" s="11" customFormat="1" ht="27" customHeight="1" x14ac:dyDescent="0.25">
      <c r="A126" s="307" t="s">
        <v>212</v>
      </c>
      <c r="B126" s="307" t="s">
        <v>233</v>
      </c>
      <c r="C126" s="88" t="s">
        <v>257</v>
      </c>
      <c r="D126" s="71" t="s">
        <v>400</v>
      </c>
      <c r="E126" s="71" t="s">
        <v>428</v>
      </c>
      <c r="F126" s="71" t="s">
        <v>401</v>
      </c>
      <c r="G126" s="71" t="s">
        <v>429</v>
      </c>
      <c r="H126" s="71" t="s">
        <v>402</v>
      </c>
      <c r="I126" s="71" t="s">
        <v>403</v>
      </c>
      <c r="J126" s="71" t="s">
        <v>430</v>
      </c>
      <c r="K126" s="71" t="s">
        <v>404</v>
      </c>
      <c r="L126" s="71" t="s">
        <v>405</v>
      </c>
      <c r="M126" s="71" t="s">
        <v>406</v>
      </c>
      <c r="N126" s="71" t="s">
        <v>407</v>
      </c>
      <c r="O126" s="77" t="s">
        <v>491</v>
      </c>
    </row>
    <row r="127" spans="1:15" ht="27" customHeight="1" x14ac:dyDescent="0.25">
      <c r="A127" s="316" t="s">
        <v>445</v>
      </c>
      <c r="B127" s="316" t="s">
        <v>459</v>
      </c>
      <c r="C127" s="63">
        <v>40</v>
      </c>
      <c r="D127" s="62">
        <v>41</v>
      </c>
      <c r="E127" s="62">
        <f>ROUND($D127*(1-INDEX(Table23[#All],MATCH($O127,Table23[[#All],[Discount Level]],0),MATCH(lettershopInsertFoldPricing[[#Headers],[≥ 5,000]],lettershopInsertFoldPricing[[#Headers],[≥ 1]:[≥ 150,000]],0))),2)</f>
        <v>37.93</v>
      </c>
      <c r="F127" s="62">
        <f>ROUND($D127*(1-INDEX(Table23[#All],MATCH($O127,Table23[[#All],[Discount Level]],0),MATCH(lettershopInsertFoldPricing[[#Headers],[≥ 10,000]],lettershopInsertFoldPricing[[#Headers],[≥ 1]:[≥ 150,000]],0))),2)</f>
        <v>35.880000000000003</v>
      </c>
      <c r="G127" s="62">
        <f>ROUND($D127*(1-INDEX(Table23[#All],MATCH($O127,Table23[[#All],[Discount Level]],0),MATCH(lettershopInsertFoldPricing[[#Headers],[≥ 15,000]],lettershopInsertFoldPricing[[#Headers],[≥ 1]:[≥ 150,000]],0))),2)</f>
        <v>33.83</v>
      </c>
      <c r="H127" s="62">
        <f>ROUND($D127*(1-INDEX(Table23[#All],MATCH($O127,Table23[[#All],[Discount Level]],0),MATCH(lettershopInsertFoldPricing[[#Headers],[≥ 20,000]],lettershopInsertFoldPricing[[#Headers],[≥ 1]:[≥ 150,000]],0))),2)</f>
        <v>32.799999999999997</v>
      </c>
      <c r="I127" s="62">
        <f>ROUND($D127*(1-INDEX(Table23[#All],MATCH($O127,Table23[[#All],[Discount Level]],0),MATCH(lettershopInsertFoldPricing[[#Headers],[≥ 25,000]],lettershopInsertFoldPricing[[#Headers],[≥ 1]:[≥ 150,000]],0))),2)</f>
        <v>31.78</v>
      </c>
      <c r="J127" s="62">
        <f>ROUND($D127*(1-INDEX(Table23[#All],MATCH($O127,Table23[[#All],[Discount Level]],0),MATCH(lettershopInsertFoldPricing[[#Headers],[≥ 35,000]],lettershopInsertFoldPricing[[#Headers],[≥ 1]:[≥ 150,000]],0))),2)</f>
        <v>30.75</v>
      </c>
      <c r="K127" s="62">
        <f>ROUND($D127*(1-INDEX(Table23[#All],MATCH($O127,Table23[[#All],[Discount Level]],0),MATCH(lettershopInsertFoldPricing[[#Headers],[≥ 50,000]],lettershopInsertFoldPricing[[#Headers],[≥ 1]:[≥ 150,000]],0))),2)</f>
        <v>29.73</v>
      </c>
      <c r="L127" s="62">
        <f>ROUND($D127*(1-INDEX(Table23[#All],MATCH($O127,Table23[[#All],[Discount Level]],0),MATCH(lettershopInsertFoldPricing[[#Headers],[≥ 75,000]],lettershopInsertFoldPricing[[#Headers],[≥ 1]:[≥ 150,000]],0))),2)</f>
        <v>28.7</v>
      </c>
      <c r="M127" s="62">
        <f>ROUND($D127*(1-INDEX(Table23[#All],MATCH($O127,Table23[[#All],[Discount Level]],0),MATCH(lettershopInsertFoldPricing[[#Headers],[≥ 100,000]],lettershopInsertFoldPricing[[#Headers],[≥ 1]:[≥ 150,000]],0))),2)</f>
        <v>27.68</v>
      </c>
      <c r="N127" s="62">
        <f>ROUND($D127*(1-INDEX(Table23[#All],MATCH($O127,Table23[[#All],[Discount Level]],0),MATCH(lettershopInsertFoldPricing[[#Headers],[≥ 150,000]],lettershopInsertFoldPricing[[#Headers],[≥ 1]:[≥ 150,000]],0))),2)</f>
        <v>26.65</v>
      </c>
      <c r="O127" s="16" t="s">
        <v>424</v>
      </c>
    </row>
    <row r="128" spans="1:15" ht="27" customHeight="1" x14ac:dyDescent="0.25">
      <c r="A128" s="316" t="s">
        <v>445</v>
      </c>
      <c r="B128" s="316" t="s">
        <v>460</v>
      </c>
      <c r="C128" s="63">
        <v>42.5</v>
      </c>
      <c r="D128" s="62">
        <v>43.5</v>
      </c>
      <c r="E128" s="62">
        <f>ROUND($D128*(1-INDEX(Table23[#All],MATCH($O128,Table23[[#All],[Discount Level]],0),MATCH(lettershopInsertFoldPricing[[#Headers],[≥ 5,000]],lettershopInsertFoldPricing[[#Headers],[≥ 1]:[≥ 150,000]],0))),2)</f>
        <v>40.24</v>
      </c>
      <c r="F128" s="62">
        <f>ROUND($D128*(1-INDEX(Table23[#All],MATCH($O128,Table23[[#All],[Discount Level]],0),MATCH(lettershopInsertFoldPricing[[#Headers],[≥ 10,000]],lettershopInsertFoldPricing[[#Headers],[≥ 1]:[≥ 150,000]],0))),2)</f>
        <v>38.06</v>
      </c>
      <c r="G128" s="62">
        <f>ROUND($D128*(1-INDEX(Table23[#All],MATCH($O128,Table23[[#All],[Discount Level]],0),MATCH(lettershopInsertFoldPricing[[#Headers],[≥ 15,000]],lettershopInsertFoldPricing[[#Headers],[≥ 1]:[≥ 150,000]],0))),2)</f>
        <v>35.89</v>
      </c>
      <c r="H128" s="62">
        <f>ROUND($D128*(1-INDEX(Table23[#All],MATCH($O128,Table23[[#All],[Discount Level]],0),MATCH(lettershopInsertFoldPricing[[#Headers],[≥ 20,000]],lettershopInsertFoldPricing[[#Headers],[≥ 1]:[≥ 150,000]],0))),2)</f>
        <v>34.799999999999997</v>
      </c>
      <c r="I128" s="62">
        <f>ROUND($D128*(1-INDEX(Table23[#All],MATCH($O128,Table23[[#All],[Discount Level]],0),MATCH(lettershopInsertFoldPricing[[#Headers],[≥ 25,000]],lettershopInsertFoldPricing[[#Headers],[≥ 1]:[≥ 150,000]],0))),2)</f>
        <v>33.71</v>
      </c>
      <c r="J128" s="62">
        <f>ROUND($D128*(1-INDEX(Table23[#All],MATCH($O128,Table23[[#All],[Discount Level]],0),MATCH(lettershopInsertFoldPricing[[#Headers],[≥ 35,000]],lettershopInsertFoldPricing[[#Headers],[≥ 1]:[≥ 150,000]],0))),2)</f>
        <v>32.630000000000003</v>
      </c>
      <c r="K128" s="62">
        <f>ROUND($D128*(1-INDEX(Table23[#All],MATCH($O128,Table23[[#All],[Discount Level]],0),MATCH(lettershopInsertFoldPricing[[#Headers],[≥ 50,000]],lettershopInsertFoldPricing[[#Headers],[≥ 1]:[≥ 150,000]],0))),2)</f>
        <v>31.54</v>
      </c>
      <c r="L128" s="62">
        <f>ROUND($D128*(1-INDEX(Table23[#All],MATCH($O128,Table23[[#All],[Discount Level]],0),MATCH(lettershopInsertFoldPricing[[#Headers],[≥ 75,000]],lettershopInsertFoldPricing[[#Headers],[≥ 1]:[≥ 150,000]],0))),2)</f>
        <v>30.45</v>
      </c>
      <c r="M128" s="62">
        <f>ROUND($D128*(1-INDEX(Table23[#All],MATCH($O128,Table23[[#All],[Discount Level]],0),MATCH(lettershopInsertFoldPricing[[#Headers],[≥ 100,000]],lettershopInsertFoldPricing[[#Headers],[≥ 1]:[≥ 150,000]],0))),2)</f>
        <v>29.36</v>
      </c>
      <c r="N128" s="62">
        <f>ROUND($D128*(1-INDEX(Table23[#All],MATCH($O128,Table23[[#All],[Discount Level]],0),MATCH(lettershopInsertFoldPricing[[#Headers],[≥ 150,000]],lettershopInsertFoldPricing[[#Headers],[≥ 1]:[≥ 150,000]],0))),2)</f>
        <v>28.28</v>
      </c>
      <c r="O128" s="16" t="s">
        <v>424</v>
      </c>
    </row>
    <row r="129" spans="1:15" ht="27" customHeight="1" x14ac:dyDescent="0.25">
      <c r="A129" s="316" t="s">
        <v>445</v>
      </c>
      <c r="B129" s="316" t="s">
        <v>461</v>
      </c>
      <c r="C129" s="63">
        <v>45</v>
      </c>
      <c r="D129" s="62">
        <v>46</v>
      </c>
      <c r="E129" s="62">
        <f>ROUND($D129*(1-INDEX(Table23[#All],MATCH($O129,Table23[[#All],[Discount Level]],0),MATCH(lettershopInsertFoldPricing[[#Headers],[≥ 5,000]],lettershopInsertFoldPricing[[#Headers],[≥ 1]:[≥ 150,000]],0))),2)</f>
        <v>42.55</v>
      </c>
      <c r="F129" s="62">
        <f>ROUND($D129*(1-INDEX(Table23[#All],MATCH($O129,Table23[[#All],[Discount Level]],0),MATCH(lettershopInsertFoldPricing[[#Headers],[≥ 10,000]],lettershopInsertFoldPricing[[#Headers],[≥ 1]:[≥ 150,000]],0))),2)</f>
        <v>40.25</v>
      </c>
      <c r="G129" s="62">
        <f>ROUND($D129*(1-INDEX(Table23[#All],MATCH($O129,Table23[[#All],[Discount Level]],0),MATCH(lettershopInsertFoldPricing[[#Headers],[≥ 15,000]],lettershopInsertFoldPricing[[#Headers],[≥ 1]:[≥ 150,000]],0))),2)</f>
        <v>37.950000000000003</v>
      </c>
      <c r="H129" s="62">
        <f>ROUND($D129*(1-INDEX(Table23[#All],MATCH($O129,Table23[[#All],[Discount Level]],0),MATCH(lettershopInsertFoldPricing[[#Headers],[≥ 20,000]],lettershopInsertFoldPricing[[#Headers],[≥ 1]:[≥ 150,000]],0))),2)</f>
        <v>36.799999999999997</v>
      </c>
      <c r="I129" s="62">
        <f>ROUND($D129*(1-INDEX(Table23[#All],MATCH($O129,Table23[[#All],[Discount Level]],0),MATCH(lettershopInsertFoldPricing[[#Headers],[≥ 25,000]],lettershopInsertFoldPricing[[#Headers],[≥ 1]:[≥ 150,000]],0))),2)</f>
        <v>35.65</v>
      </c>
      <c r="J129" s="62">
        <f>ROUND($D129*(1-INDEX(Table23[#All],MATCH($O129,Table23[[#All],[Discount Level]],0),MATCH(lettershopInsertFoldPricing[[#Headers],[≥ 35,000]],lettershopInsertFoldPricing[[#Headers],[≥ 1]:[≥ 150,000]],0))),2)</f>
        <v>34.5</v>
      </c>
      <c r="K129" s="62">
        <f>ROUND($D129*(1-INDEX(Table23[#All],MATCH($O129,Table23[[#All],[Discount Level]],0),MATCH(lettershopInsertFoldPricing[[#Headers],[≥ 50,000]],lettershopInsertFoldPricing[[#Headers],[≥ 1]:[≥ 150,000]],0))),2)</f>
        <v>33.35</v>
      </c>
      <c r="L129" s="62">
        <f>ROUND($D129*(1-INDEX(Table23[#All],MATCH($O129,Table23[[#All],[Discount Level]],0),MATCH(lettershopInsertFoldPricing[[#Headers],[≥ 75,000]],lettershopInsertFoldPricing[[#Headers],[≥ 1]:[≥ 150,000]],0))),2)</f>
        <v>32.200000000000003</v>
      </c>
      <c r="M129" s="62">
        <f>ROUND($D129*(1-INDEX(Table23[#All],MATCH($O129,Table23[[#All],[Discount Level]],0),MATCH(lettershopInsertFoldPricing[[#Headers],[≥ 100,000]],lettershopInsertFoldPricing[[#Headers],[≥ 1]:[≥ 150,000]],0))),2)</f>
        <v>31.05</v>
      </c>
      <c r="N129" s="62">
        <f>ROUND($D129*(1-INDEX(Table23[#All],MATCH($O129,Table23[[#All],[Discount Level]],0),MATCH(lettershopInsertFoldPricing[[#Headers],[≥ 150,000]],lettershopInsertFoldPricing[[#Headers],[≥ 1]:[≥ 150,000]],0))),2)</f>
        <v>29.9</v>
      </c>
      <c r="O129" s="16" t="s">
        <v>424</v>
      </c>
    </row>
    <row r="130" spans="1:15" ht="27" customHeight="1" x14ac:dyDescent="0.25">
      <c r="A130" s="316" t="s">
        <v>445</v>
      </c>
      <c r="B130" s="316" t="s">
        <v>462</v>
      </c>
      <c r="C130" s="63">
        <v>55</v>
      </c>
      <c r="D130" s="62">
        <v>46</v>
      </c>
      <c r="E130" s="62">
        <f>ROUND($D130*(1-INDEX(Table23[#All],MATCH($O130,Table23[[#All],[Discount Level]],0),MATCH(lettershopInsertFoldPricing[[#Headers],[≥ 5,000]],lettershopInsertFoldPricing[[#Headers],[≥ 1]:[≥ 150,000]],0))),2)</f>
        <v>42.55</v>
      </c>
      <c r="F130" s="62">
        <f>ROUND($D130*(1-INDEX(Table23[#All],MATCH($O130,Table23[[#All],[Discount Level]],0),MATCH(lettershopInsertFoldPricing[[#Headers],[≥ 10,000]],lettershopInsertFoldPricing[[#Headers],[≥ 1]:[≥ 150,000]],0))),2)</f>
        <v>40.25</v>
      </c>
      <c r="G130" s="62">
        <f>ROUND($D130*(1-INDEX(Table23[#All],MATCH($O130,Table23[[#All],[Discount Level]],0),MATCH(lettershopInsertFoldPricing[[#Headers],[≥ 15,000]],lettershopInsertFoldPricing[[#Headers],[≥ 1]:[≥ 150,000]],0))),2)</f>
        <v>37.950000000000003</v>
      </c>
      <c r="H130" s="62">
        <f>ROUND($D130*(1-INDEX(Table23[#All],MATCH($O130,Table23[[#All],[Discount Level]],0),MATCH(lettershopInsertFoldPricing[[#Headers],[≥ 20,000]],lettershopInsertFoldPricing[[#Headers],[≥ 1]:[≥ 150,000]],0))),2)</f>
        <v>36.799999999999997</v>
      </c>
      <c r="I130" s="62">
        <f>ROUND($D130*(1-INDEX(Table23[#All],MATCH($O130,Table23[[#All],[Discount Level]],0),MATCH(lettershopInsertFoldPricing[[#Headers],[≥ 25,000]],lettershopInsertFoldPricing[[#Headers],[≥ 1]:[≥ 150,000]],0))),2)</f>
        <v>35.65</v>
      </c>
      <c r="J130" s="62">
        <f>ROUND($D130*(1-INDEX(Table23[#All],MATCH($O130,Table23[[#All],[Discount Level]],0),MATCH(lettershopInsertFoldPricing[[#Headers],[≥ 35,000]],lettershopInsertFoldPricing[[#Headers],[≥ 1]:[≥ 150,000]],0))),2)</f>
        <v>34.5</v>
      </c>
      <c r="K130" s="62">
        <f>ROUND($D130*(1-INDEX(Table23[#All],MATCH($O130,Table23[[#All],[Discount Level]],0),MATCH(lettershopInsertFoldPricing[[#Headers],[≥ 50,000]],lettershopInsertFoldPricing[[#Headers],[≥ 1]:[≥ 150,000]],0))),2)</f>
        <v>33.35</v>
      </c>
      <c r="L130" s="62">
        <f>ROUND($D130*(1-INDEX(Table23[#All],MATCH($O130,Table23[[#All],[Discount Level]],0),MATCH(lettershopInsertFoldPricing[[#Headers],[≥ 75,000]],lettershopInsertFoldPricing[[#Headers],[≥ 1]:[≥ 150,000]],0))),2)</f>
        <v>32.200000000000003</v>
      </c>
      <c r="M130" s="62">
        <f>ROUND($D130*(1-INDEX(Table23[#All],MATCH($O130,Table23[[#All],[Discount Level]],0),MATCH(lettershopInsertFoldPricing[[#Headers],[≥ 100,000]],lettershopInsertFoldPricing[[#Headers],[≥ 1]:[≥ 150,000]],0))),2)</f>
        <v>31.05</v>
      </c>
      <c r="N130" s="62">
        <f>ROUND($D130*(1-INDEX(Table23[#All],MATCH($O130,Table23[[#All],[Discount Level]],0),MATCH(lettershopInsertFoldPricing[[#Headers],[≥ 150,000]],lettershopInsertFoldPricing[[#Headers],[≥ 1]:[≥ 150,000]],0))),2)</f>
        <v>29.9</v>
      </c>
      <c r="O130" s="16" t="s">
        <v>424</v>
      </c>
    </row>
    <row r="131" spans="1:15" ht="27" customHeight="1" x14ac:dyDescent="0.25">
      <c r="A131" s="316" t="s">
        <v>445</v>
      </c>
      <c r="B131" s="316" t="s">
        <v>463</v>
      </c>
      <c r="C131" s="63">
        <v>57.5</v>
      </c>
      <c r="D131" s="62">
        <v>48.5</v>
      </c>
      <c r="E131" s="62">
        <f>ROUND($D131*(1-INDEX(Table23[#All],MATCH($O131,Table23[[#All],[Discount Level]],0),MATCH(lettershopInsertFoldPricing[[#Headers],[≥ 5,000]],lettershopInsertFoldPricing[[#Headers],[≥ 1]:[≥ 150,000]],0))),2)</f>
        <v>44.86</v>
      </c>
      <c r="F131" s="62">
        <f>ROUND($D131*(1-INDEX(Table23[#All],MATCH($O131,Table23[[#All],[Discount Level]],0),MATCH(lettershopInsertFoldPricing[[#Headers],[≥ 10,000]],lettershopInsertFoldPricing[[#Headers],[≥ 1]:[≥ 150,000]],0))),2)</f>
        <v>42.44</v>
      </c>
      <c r="G131" s="62">
        <f>ROUND($D131*(1-INDEX(Table23[#All],MATCH($O131,Table23[[#All],[Discount Level]],0),MATCH(lettershopInsertFoldPricing[[#Headers],[≥ 15,000]],lettershopInsertFoldPricing[[#Headers],[≥ 1]:[≥ 150,000]],0))),2)</f>
        <v>40.01</v>
      </c>
      <c r="H131" s="62">
        <f>ROUND($D131*(1-INDEX(Table23[#All],MATCH($O131,Table23[[#All],[Discount Level]],0),MATCH(lettershopInsertFoldPricing[[#Headers],[≥ 20,000]],lettershopInsertFoldPricing[[#Headers],[≥ 1]:[≥ 150,000]],0))),2)</f>
        <v>38.799999999999997</v>
      </c>
      <c r="I131" s="62">
        <f>ROUND($D131*(1-INDEX(Table23[#All],MATCH($O131,Table23[[#All],[Discount Level]],0),MATCH(lettershopInsertFoldPricing[[#Headers],[≥ 25,000]],lettershopInsertFoldPricing[[#Headers],[≥ 1]:[≥ 150,000]],0))),2)</f>
        <v>37.590000000000003</v>
      </c>
      <c r="J131" s="62">
        <f>ROUND($D131*(1-INDEX(Table23[#All],MATCH($O131,Table23[[#All],[Discount Level]],0),MATCH(lettershopInsertFoldPricing[[#Headers],[≥ 35,000]],lettershopInsertFoldPricing[[#Headers],[≥ 1]:[≥ 150,000]],0))),2)</f>
        <v>36.380000000000003</v>
      </c>
      <c r="K131" s="62">
        <f>ROUND($D131*(1-INDEX(Table23[#All],MATCH($O131,Table23[[#All],[Discount Level]],0),MATCH(lettershopInsertFoldPricing[[#Headers],[≥ 50,000]],lettershopInsertFoldPricing[[#Headers],[≥ 1]:[≥ 150,000]],0))),2)</f>
        <v>35.159999999999997</v>
      </c>
      <c r="L131" s="62">
        <f>ROUND($D131*(1-INDEX(Table23[#All],MATCH($O131,Table23[[#All],[Discount Level]],0),MATCH(lettershopInsertFoldPricing[[#Headers],[≥ 75,000]],lettershopInsertFoldPricing[[#Headers],[≥ 1]:[≥ 150,000]],0))),2)</f>
        <v>33.950000000000003</v>
      </c>
      <c r="M131" s="62">
        <f>ROUND($D131*(1-INDEX(Table23[#All],MATCH($O131,Table23[[#All],[Discount Level]],0),MATCH(lettershopInsertFoldPricing[[#Headers],[≥ 100,000]],lettershopInsertFoldPricing[[#Headers],[≥ 1]:[≥ 150,000]],0))),2)</f>
        <v>32.74</v>
      </c>
      <c r="N131" s="62">
        <f>ROUND($D131*(1-INDEX(Table23[#All],MATCH($O131,Table23[[#All],[Discount Level]],0),MATCH(lettershopInsertFoldPricing[[#Headers],[≥ 150,000]],lettershopInsertFoldPricing[[#Headers],[≥ 1]:[≥ 150,000]],0))),2)</f>
        <v>31.53</v>
      </c>
      <c r="O131" s="16" t="s">
        <v>424</v>
      </c>
    </row>
    <row r="132" spans="1:15" ht="27" customHeight="1" x14ac:dyDescent="0.25">
      <c r="A132" s="316" t="s">
        <v>445</v>
      </c>
      <c r="B132" s="316" t="s">
        <v>464</v>
      </c>
      <c r="C132" s="63">
        <v>60</v>
      </c>
      <c r="D132" s="62">
        <v>51</v>
      </c>
      <c r="E132" s="62">
        <f>ROUND($D132*(1-INDEX(Table23[#All],MATCH($O132,Table23[[#All],[Discount Level]],0),MATCH(lettershopInsertFoldPricing[[#Headers],[≥ 5,000]],lettershopInsertFoldPricing[[#Headers],[≥ 1]:[≥ 150,000]],0))),2)</f>
        <v>47.18</v>
      </c>
      <c r="F132" s="62">
        <f>ROUND($D132*(1-INDEX(Table23[#All],MATCH($O132,Table23[[#All],[Discount Level]],0),MATCH(lettershopInsertFoldPricing[[#Headers],[≥ 10,000]],lettershopInsertFoldPricing[[#Headers],[≥ 1]:[≥ 150,000]],0))),2)</f>
        <v>44.63</v>
      </c>
      <c r="G132" s="62">
        <f>ROUND($D132*(1-INDEX(Table23[#All],MATCH($O132,Table23[[#All],[Discount Level]],0),MATCH(lettershopInsertFoldPricing[[#Headers],[≥ 15,000]],lettershopInsertFoldPricing[[#Headers],[≥ 1]:[≥ 150,000]],0))),2)</f>
        <v>42.08</v>
      </c>
      <c r="H132" s="62">
        <f>ROUND($D132*(1-INDEX(Table23[#All],MATCH($O132,Table23[[#All],[Discount Level]],0),MATCH(lettershopInsertFoldPricing[[#Headers],[≥ 20,000]],lettershopInsertFoldPricing[[#Headers],[≥ 1]:[≥ 150,000]],0))),2)</f>
        <v>40.799999999999997</v>
      </c>
      <c r="I132" s="62">
        <f>ROUND($D132*(1-INDEX(Table23[#All],MATCH($O132,Table23[[#All],[Discount Level]],0),MATCH(lettershopInsertFoldPricing[[#Headers],[≥ 25,000]],lettershopInsertFoldPricing[[#Headers],[≥ 1]:[≥ 150,000]],0))),2)</f>
        <v>39.53</v>
      </c>
      <c r="J132" s="62">
        <f>ROUND($D132*(1-INDEX(Table23[#All],MATCH($O132,Table23[[#All],[Discount Level]],0),MATCH(lettershopInsertFoldPricing[[#Headers],[≥ 35,000]],lettershopInsertFoldPricing[[#Headers],[≥ 1]:[≥ 150,000]],0))),2)</f>
        <v>38.25</v>
      </c>
      <c r="K132" s="62">
        <f>ROUND($D132*(1-INDEX(Table23[#All],MATCH($O132,Table23[[#All],[Discount Level]],0),MATCH(lettershopInsertFoldPricing[[#Headers],[≥ 50,000]],lettershopInsertFoldPricing[[#Headers],[≥ 1]:[≥ 150,000]],0))),2)</f>
        <v>36.979999999999997</v>
      </c>
      <c r="L132" s="62">
        <f>ROUND($D132*(1-INDEX(Table23[#All],MATCH($O132,Table23[[#All],[Discount Level]],0),MATCH(lettershopInsertFoldPricing[[#Headers],[≥ 75,000]],lettershopInsertFoldPricing[[#Headers],[≥ 1]:[≥ 150,000]],0))),2)</f>
        <v>35.700000000000003</v>
      </c>
      <c r="M132" s="62">
        <f>ROUND($D132*(1-INDEX(Table23[#All],MATCH($O132,Table23[[#All],[Discount Level]],0),MATCH(lettershopInsertFoldPricing[[#Headers],[≥ 100,000]],lettershopInsertFoldPricing[[#Headers],[≥ 1]:[≥ 150,000]],0))),2)</f>
        <v>34.43</v>
      </c>
      <c r="N132" s="62">
        <f>ROUND($D132*(1-INDEX(Table23[#All],MATCH($O132,Table23[[#All],[Discount Level]],0),MATCH(lettershopInsertFoldPricing[[#Headers],[≥ 150,000]],lettershopInsertFoldPricing[[#Headers],[≥ 1]:[≥ 150,000]],0))),2)</f>
        <v>33.15</v>
      </c>
      <c r="O132" s="16" t="s">
        <v>424</v>
      </c>
    </row>
    <row r="133" spans="1:15" ht="27" customHeight="1" x14ac:dyDescent="0.25">
      <c r="A133" s="316" t="s">
        <v>445</v>
      </c>
      <c r="B133" s="316" t="s">
        <v>465</v>
      </c>
      <c r="C133" s="63">
        <v>55</v>
      </c>
      <c r="D133" s="62">
        <v>56</v>
      </c>
      <c r="E133" s="62">
        <f>ROUND($D133*(1-INDEX(Table23[#All],MATCH($O133,Table23[[#All],[Discount Level]],0),MATCH(lettershopInsertFoldPricing[[#Headers],[≥ 5,000]],lettershopInsertFoldPricing[[#Headers],[≥ 1]:[≥ 150,000]],0))),2)</f>
        <v>51.8</v>
      </c>
      <c r="F133" s="62">
        <f>ROUND($D133*(1-INDEX(Table23[#All],MATCH($O133,Table23[[#All],[Discount Level]],0),MATCH(lettershopInsertFoldPricing[[#Headers],[≥ 10,000]],lettershopInsertFoldPricing[[#Headers],[≥ 1]:[≥ 150,000]],0))),2)</f>
        <v>49</v>
      </c>
      <c r="G133" s="62">
        <f>ROUND($D133*(1-INDEX(Table23[#All],MATCH($O133,Table23[[#All],[Discount Level]],0),MATCH(lettershopInsertFoldPricing[[#Headers],[≥ 15,000]],lettershopInsertFoldPricing[[#Headers],[≥ 1]:[≥ 150,000]],0))),2)</f>
        <v>46.2</v>
      </c>
      <c r="H133" s="62">
        <f>ROUND($D133*(1-INDEX(Table23[#All],MATCH($O133,Table23[[#All],[Discount Level]],0),MATCH(lettershopInsertFoldPricing[[#Headers],[≥ 20,000]],lettershopInsertFoldPricing[[#Headers],[≥ 1]:[≥ 150,000]],0))),2)</f>
        <v>44.8</v>
      </c>
      <c r="I133" s="62">
        <f>ROUND($D133*(1-INDEX(Table23[#All],MATCH($O133,Table23[[#All],[Discount Level]],0),MATCH(lettershopInsertFoldPricing[[#Headers],[≥ 25,000]],lettershopInsertFoldPricing[[#Headers],[≥ 1]:[≥ 150,000]],0))),2)</f>
        <v>43.4</v>
      </c>
      <c r="J133" s="62">
        <f>ROUND($D133*(1-INDEX(Table23[#All],MATCH($O133,Table23[[#All],[Discount Level]],0),MATCH(lettershopInsertFoldPricing[[#Headers],[≥ 35,000]],lettershopInsertFoldPricing[[#Headers],[≥ 1]:[≥ 150,000]],0))),2)</f>
        <v>42</v>
      </c>
      <c r="K133" s="62">
        <f>ROUND($D133*(1-INDEX(Table23[#All],MATCH($O133,Table23[[#All],[Discount Level]],0),MATCH(lettershopInsertFoldPricing[[#Headers],[≥ 50,000]],lettershopInsertFoldPricing[[#Headers],[≥ 1]:[≥ 150,000]],0))),2)</f>
        <v>40.6</v>
      </c>
      <c r="L133" s="62">
        <f>ROUND($D133*(1-INDEX(Table23[#All],MATCH($O133,Table23[[#All],[Discount Level]],0),MATCH(lettershopInsertFoldPricing[[#Headers],[≥ 75,000]],lettershopInsertFoldPricing[[#Headers],[≥ 1]:[≥ 150,000]],0))),2)</f>
        <v>39.200000000000003</v>
      </c>
      <c r="M133" s="62">
        <f>ROUND($D133*(1-INDEX(Table23[#All],MATCH($O133,Table23[[#All],[Discount Level]],0),MATCH(lettershopInsertFoldPricing[[#Headers],[≥ 100,000]],lettershopInsertFoldPricing[[#Headers],[≥ 1]:[≥ 150,000]],0))),2)</f>
        <v>37.799999999999997</v>
      </c>
      <c r="N133" s="62">
        <f>ROUND($D133*(1-INDEX(Table23[#All],MATCH($O133,Table23[[#All],[Discount Level]],0),MATCH(lettershopInsertFoldPricing[[#Headers],[≥ 150,000]],lettershopInsertFoldPricing[[#Headers],[≥ 1]:[≥ 150,000]],0))),2)</f>
        <v>36.4</v>
      </c>
      <c r="O133" s="16" t="s">
        <v>424</v>
      </c>
    </row>
    <row r="134" spans="1:15" ht="27" customHeight="1" x14ac:dyDescent="0.25">
      <c r="A134" s="316" t="s">
        <v>445</v>
      </c>
      <c r="B134" s="316" t="s">
        <v>466</v>
      </c>
      <c r="C134" s="63">
        <v>57.5</v>
      </c>
      <c r="D134" s="62">
        <v>61</v>
      </c>
      <c r="E134" s="62">
        <f>ROUND($D134*(1-INDEX(Table23[#All],MATCH($O134,Table23[[#All],[Discount Level]],0),MATCH(lettershopInsertFoldPricing[[#Headers],[≥ 5,000]],lettershopInsertFoldPricing[[#Headers],[≥ 1]:[≥ 150,000]],0))),2)</f>
        <v>56.43</v>
      </c>
      <c r="F134" s="62">
        <f>ROUND($D134*(1-INDEX(Table23[#All],MATCH($O134,Table23[[#All],[Discount Level]],0),MATCH(lettershopInsertFoldPricing[[#Headers],[≥ 10,000]],lettershopInsertFoldPricing[[#Headers],[≥ 1]:[≥ 150,000]],0))),2)</f>
        <v>53.38</v>
      </c>
      <c r="G134" s="62">
        <f>ROUND($D134*(1-INDEX(Table23[#All],MATCH($O134,Table23[[#All],[Discount Level]],0),MATCH(lettershopInsertFoldPricing[[#Headers],[≥ 15,000]],lettershopInsertFoldPricing[[#Headers],[≥ 1]:[≥ 150,000]],0))),2)</f>
        <v>50.33</v>
      </c>
      <c r="H134" s="62">
        <f>ROUND($D134*(1-INDEX(Table23[#All],MATCH($O134,Table23[[#All],[Discount Level]],0),MATCH(lettershopInsertFoldPricing[[#Headers],[≥ 20,000]],lettershopInsertFoldPricing[[#Headers],[≥ 1]:[≥ 150,000]],0))),2)</f>
        <v>48.8</v>
      </c>
      <c r="I134" s="62">
        <f>ROUND($D134*(1-INDEX(Table23[#All],MATCH($O134,Table23[[#All],[Discount Level]],0),MATCH(lettershopInsertFoldPricing[[#Headers],[≥ 25,000]],lettershopInsertFoldPricing[[#Headers],[≥ 1]:[≥ 150,000]],0))),2)</f>
        <v>47.28</v>
      </c>
      <c r="J134" s="62">
        <f>ROUND($D134*(1-INDEX(Table23[#All],MATCH($O134,Table23[[#All],[Discount Level]],0),MATCH(lettershopInsertFoldPricing[[#Headers],[≥ 35,000]],lettershopInsertFoldPricing[[#Headers],[≥ 1]:[≥ 150,000]],0))),2)</f>
        <v>45.75</v>
      </c>
      <c r="K134" s="62">
        <f>ROUND($D134*(1-INDEX(Table23[#All],MATCH($O134,Table23[[#All],[Discount Level]],0),MATCH(lettershopInsertFoldPricing[[#Headers],[≥ 50,000]],lettershopInsertFoldPricing[[#Headers],[≥ 1]:[≥ 150,000]],0))),2)</f>
        <v>44.23</v>
      </c>
      <c r="L134" s="62">
        <f>ROUND($D134*(1-INDEX(Table23[#All],MATCH($O134,Table23[[#All],[Discount Level]],0),MATCH(lettershopInsertFoldPricing[[#Headers],[≥ 75,000]],lettershopInsertFoldPricing[[#Headers],[≥ 1]:[≥ 150,000]],0))),2)</f>
        <v>42.7</v>
      </c>
      <c r="M134" s="62">
        <f>ROUND($D134*(1-INDEX(Table23[#All],MATCH($O134,Table23[[#All],[Discount Level]],0),MATCH(lettershopInsertFoldPricing[[#Headers],[≥ 100,000]],lettershopInsertFoldPricing[[#Headers],[≥ 1]:[≥ 150,000]],0))),2)</f>
        <v>41.18</v>
      </c>
      <c r="N134" s="62">
        <f>ROUND($D134*(1-INDEX(Table23[#All],MATCH($O134,Table23[[#All],[Discount Level]],0),MATCH(lettershopInsertFoldPricing[[#Headers],[≥ 150,000]],lettershopInsertFoldPricing[[#Headers],[≥ 1]:[≥ 150,000]],0))),2)</f>
        <v>39.65</v>
      </c>
      <c r="O134" s="16" t="s">
        <v>424</v>
      </c>
    </row>
    <row r="135" spans="1:15" ht="27" customHeight="1" x14ac:dyDescent="0.25">
      <c r="A135" s="316" t="s">
        <v>445</v>
      </c>
      <c r="B135" s="316" t="s">
        <v>467</v>
      </c>
      <c r="C135" s="63">
        <v>60</v>
      </c>
      <c r="D135" s="62">
        <v>66.5</v>
      </c>
      <c r="E135" s="62">
        <f>ROUND($D135*(1-INDEX(Table23[#All],MATCH($O135,Table23[[#All],[Discount Level]],0),MATCH(lettershopInsertFoldPricing[[#Headers],[≥ 5,000]],lettershopInsertFoldPricing[[#Headers],[≥ 1]:[≥ 150,000]],0))),2)</f>
        <v>61.51</v>
      </c>
      <c r="F135" s="62">
        <f>ROUND($D135*(1-INDEX(Table23[#All],MATCH($O135,Table23[[#All],[Discount Level]],0),MATCH(lettershopInsertFoldPricing[[#Headers],[≥ 10,000]],lettershopInsertFoldPricing[[#Headers],[≥ 1]:[≥ 150,000]],0))),2)</f>
        <v>58.19</v>
      </c>
      <c r="G135" s="62">
        <f>ROUND($D135*(1-INDEX(Table23[#All],MATCH($O135,Table23[[#All],[Discount Level]],0),MATCH(lettershopInsertFoldPricing[[#Headers],[≥ 15,000]],lettershopInsertFoldPricing[[#Headers],[≥ 1]:[≥ 150,000]],0))),2)</f>
        <v>54.86</v>
      </c>
      <c r="H135" s="62">
        <f>ROUND($D135*(1-INDEX(Table23[#All],MATCH($O135,Table23[[#All],[Discount Level]],0),MATCH(lettershopInsertFoldPricing[[#Headers],[≥ 20,000]],lettershopInsertFoldPricing[[#Headers],[≥ 1]:[≥ 150,000]],0))),2)</f>
        <v>53.2</v>
      </c>
      <c r="I135" s="62">
        <f>ROUND($D135*(1-INDEX(Table23[#All],MATCH($O135,Table23[[#All],[Discount Level]],0),MATCH(lettershopInsertFoldPricing[[#Headers],[≥ 25,000]],lettershopInsertFoldPricing[[#Headers],[≥ 1]:[≥ 150,000]],0))),2)</f>
        <v>51.54</v>
      </c>
      <c r="J135" s="62">
        <f>ROUND($D135*(1-INDEX(Table23[#All],MATCH($O135,Table23[[#All],[Discount Level]],0),MATCH(lettershopInsertFoldPricing[[#Headers],[≥ 35,000]],lettershopInsertFoldPricing[[#Headers],[≥ 1]:[≥ 150,000]],0))),2)</f>
        <v>49.88</v>
      </c>
      <c r="K135" s="62">
        <f>ROUND($D135*(1-INDEX(Table23[#All],MATCH($O135,Table23[[#All],[Discount Level]],0),MATCH(lettershopInsertFoldPricing[[#Headers],[≥ 50,000]],lettershopInsertFoldPricing[[#Headers],[≥ 1]:[≥ 150,000]],0))),2)</f>
        <v>48.21</v>
      </c>
      <c r="L135" s="62">
        <f>ROUND($D135*(1-INDEX(Table23[#All],MATCH($O135,Table23[[#All],[Discount Level]],0),MATCH(lettershopInsertFoldPricing[[#Headers],[≥ 75,000]],lettershopInsertFoldPricing[[#Headers],[≥ 1]:[≥ 150,000]],0))),2)</f>
        <v>46.55</v>
      </c>
      <c r="M135" s="62">
        <f>ROUND($D135*(1-INDEX(Table23[#All],MATCH($O135,Table23[[#All],[Discount Level]],0),MATCH(lettershopInsertFoldPricing[[#Headers],[≥ 100,000]],lettershopInsertFoldPricing[[#Headers],[≥ 1]:[≥ 150,000]],0))),2)</f>
        <v>44.89</v>
      </c>
      <c r="N135" s="62">
        <f>ROUND($D135*(1-INDEX(Table23[#All],MATCH($O135,Table23[[#All],[Discount Level]],0),MATCH(lettershopInsertFoldPricing[[#Headers],[≥ 150,000]],lettershopInsertFoldPricing[[#Headers],[≥ 1]:[≥ 150,000]],0))),2)</f>
        <v>43.23</v>
      </c>
      <c r="O135" s="16" t="s">
        <v>424</v>
      </c>
    </row>
    <row r="136" spans="1:15" ht="27" customHeight="1" x14ac:dyDescent="0.25">
      <c r="A136" s="316" t="s">
        <v>446</v>
      </c>
      <c r="B136" s="316" t="s">
        <v>447</v>
      </c>
      <c r="C136" s="63">
        <v>40</v>
      </c>
      <c r="D136" s="62">
        <v>81.5</v>
      </c>
      <c r="E136" s="62">
        <f>ROUND($D136*(1-INDEX(Table23[#All],MATCH($O136,Table23[[#All],[Discount Level]],0),MATCH(lettershopInsertFoldPricing[[#Headers],[≥ 5,000]],lettershopInsertFoldPricing[[#Headers],[≥ 1]:[≥ 150,000]],0))),2)</f>
        <v>69.28</v>
      </c>
      <c r="F136" s="62">
        <f>ROUND($D136*(1-INDEX(Table23[#All],MATCH($O136,Table23[[#All],[Discount Level]],0),MATCH(lettershopInsertFoldPricing[[#Headers],[≥ 10,000]],lettershopInsertFoldPricing[[#Headers],[≥ 1]:[≥ 150,000]],0))),2)</f>
        <v>61.13</v>
      </c>
      <c r="G136" s="62">
        <f>ROUND($D136*(1-INDEX(Table23[#All],MATCH($O136,Table23[[#All],[Discount Level]],0),MATCH(lettershopInsertFoldPricing[[#Headers],[≥ 15,000]],lettershopInsertFoldPricing[[#Headers],[≥ 1]:[≥ 150,000]],0))),2)</f>
        <v>52.98</v>
      </c>
      <c r="H136" s="62">
        <f>ROUND($D136*(1-INDEX(Table23[#All],MATCH($O136,Table23[[#All],[Discount Level]],0),MATCH(lettershopInsertFoldPricing[[#Headers],[≥ 20,000]],lettershopInsertFoldPricing[[#Headers],[≥ 1]:[≥ 150,000]],0))),2)</f>
        <v>48.9</v>
      </c>
      <c r="I136" s="62">
        <f>ROUND($D136*(1-INDEX(Table23[#All],MATCH($O136,Table23[[#All],[Discount Level]],0),MATCH(lettershopInsertFoldPricing[[#Headers],[≥ 25,000]],lettershopInsertFoldPricing[[#Headers],[≥ 1]:[≥ 150,000]],0))),2)</f>
        <v>44.83</v>
      </c>
      <c r="J136" s="62">
        <f>ROUND($D136*(1-INDEX(Table23[#All],MATCH($O136,Table23[[#All],[Discount Level]],0),MATCH(lettershopInsertFoldPricing[[#Headers],[≥ 35,000]],lettershopInsertFoldPricing[[#Headers],[≥ 1]:[≥ 150,000]],0))),2)</f>
        <v>40.75</v>
      </c>
      <c r="K136" s="62">
        <f>ROUND($D136*(1-INDEX(Table23[#All],MATCH($O136,Table23[[#All],[Discount Level]],0),MATCH(lettershopInsertFoldPricing[[#Headers],[≥ 50,000]],lettershopInsertFoldPricing[[#Headers],[≥ 1]:[≥ 150,000]],0))),2)</f>
        <v>39.119999999999997</v>
      </c>
      <c r="L136" s="62">
        <f>ROUND($D136*(1-INDEX(Table23[#All],MATCH($O136,Table23[[#All],[Discount Level]],0),MATCH(lettershopInsertFoldPricing[[#Headers],[≥ 75,000]],lettershopInsertFoldPricing[[#Headers],[≥ 1]:[≥ 150,000]],0))),2)</f>
        <v>38.31</v>
      </c>
      <c r="M136" s="62">
        <f>ROUND($D136*(1-INDEX(Table23[#All],MATCH($O136,Table23[[#All],[Discount Level]],0),MATCH(lettershopInsertFoldPricing[[#Headers],[≥ 100,000]],lettershopInsertFoldPricing[[#Headers],[≥ 1]:[≥ 150,000]],0))),2)</f>
        <v>37.49</v>
      </c>
      <c r="N136" s="62">
        <f>ROUND($D136*(1-INDEX(Table23[#All],MATCH($O136,Table23[[#All],[Discount Level]],0),MATCH(lettershopInsertFoldPricing[[#Headers],[≥ 150,000]],lettershopInsertFoldPricing[[#Headers],[≥ 1]:[≥ 150,000]],0))),2)</f>
        <v>36.68</v>
      </c>
      <c r="O136" s="16" t="s">
        <v>425</v>
      </c>
    </row>
    <row r="137" spans="1:15" ht="27" customHeight="1" x14ac:dyDescent="0.25">
      <c r="A137" s="316" t="s">
        <v>446</v>
      </c>
      <c r="B137" s="316" t="s">
        <v>448</v>
      </c>
      <c r="C137" s="63">
        <v>42.5</v>
      </c>
      <c r="D137" s="62">
        <v>84</v>
      </c>
      <c r="E137" s="62">
        <f>ROUND($D137*(1-INDEX(Table23[#All],MATCH($O137,Table23[[#All],[Discount Level]],0),MATCH(lettershopInsertFoldPricing[[#Headers],[≥ 5,000]],lettershopInsertFoldPricing[[#Headers],[≥ 1]:[≥ 150,000]],0))),2)</f>
        <v>71.400000000000006</v>
      </c>
      <c r="F137" s="62">
        <f>ROUND($D137*(1-INDEX(Table23[#All],MATCH($O137,Table23[[#All],[Discount Level]],0),MATCH(lettershopInsertFoldPricing[[#Headers],[≥ 10,000]],lettershopInsertFoldPricing[[#Headers],[≥ 1]:[≥ 150,000]],0))),2)</f>
        <v>63</v>
      </c>
      <c r="G137" s="62">
        <f>ROUND($D137*(1-INDEX(Table23[#All],MATCH($O137,Table23[[#All],[Discount Level]],0),MATCH(lettershopInsertFoldPricing[[#Headers],[≥ 15,000]],lettershopInsertFoldPricing[[#Headers],[≥ 1]:[≥ 150,000]],0))),2)</f>
        <v>54.6</v>
      </c>
      <c r="H137" s="62">
        <f>ROUND($D137*(1-INDEX(Table23[#All],MATCH($O137,Table23[[#All],[Discount Level]],0),MATCH(lettershopInsertFoldPricing[[#Headers],[≥ 20,000]],lettershopInsertFoldPricing[[#Headers],[≥ 1]:[≥ 150,000]],0))),2)</f>
        <v>50.4</v>
      </c>
      <c r="I137" s="62">
        <f>ROUND($D137*(1-INDEX(Table23[#All],MATCH($O137,Table23[[#All],[Discount Level]],0),MATCH(lettershopInsertFoldPricing[[#Headers],[≥ 25,000]],lettershopInsertFoldPricing[[#Headers],[≥ 1]:[≥ 150,000]],0))),2)</f>
        <v>46.2</v>
      </c>
      <c r="J137" s="62">
        <f>ROUND($D137*(1-INDEX(Table23[#All],MATCH($O137,Table23[[#All],[Discount Level]],0),MATCH(lettershopInsertFoldPricing[[#Headers],[≥ 35,000]],lettershopInsertFoldPricing[[#Headers],[≥ 1]:[≥ 150,000]],0))),2)</f>
        <v>42</v>
      </c>
      <c r="K137" s="62">
        <f>ROUND($D137*(1-INDEX(Table23[#All],MATCH($O137,Table23[[#All],[Discount Level]],0),MATCH(lettershopInsertFoldPricing[[#Headers],[≥ 50,000]],lettershopInsertFoldPricing[[#Headers],[≥ 1]:[≥ 150,000]],0))),2)</f>
        <v>40.32</v>
      </c>
      <c r="L137" s="62">
        <f>ROUND($D137*(1-INDEX(Table23[#All],MATCH($O137,Table23[[#All],[Discount Level]],0),MATCH(lettershopInsertFoldPricing[[#Headers],[≥ 75,000]],lettershopInsertFoldPricing[[#Headers],[≥ 1]:[≥ 150,000]],0))),2)</f>
        <v>39.479999999999997</v>
      </c>
      <c r="M137" s="62">
        <f>ROUND($D137*(1-INDEX(Table23[#All],MATCH($O137,Table23[[#All],[Discount Level]],0),MATCH(lettershopInsertFoldPricing[[#Headers],[≥ 100,000]],lettershopInsertFoldPricing[[#Headers],[≥ 1]:[≥ 150,000]],0))),2)</f>
        <v>38.64</v>
      </c>
      <c r="N137" s="62">
        <f>ROUND($D137*(1-INDEX(Table23[#All],MATCH($O137,Table23[[#All],[Discount Level]],0),MATCH(lettershopInsertFoldPricing[[#Headers],[≥ 150,000]],lettershopInsertFoldPricing[[#Headers],[≥ 1]:[≥ 150,000]],0))),2)</f>
        <v>37.799999999999997</v>
      </c>
      <c r="O137" s="16" t="s">
        <v>425</v>
      </c>
    </row>
    <row r="138" spans="1:15" ht="27" customHeight="1" x14ac:dyDescent="0.25">
      <c r="A138" s="316" t="s">
        <v>446</v>
      </c>
      <c r="B138" s="316" t="s">
        <v>449</v>
      </c>
      <c r="C138" s="63">
        <v>45</v>
      </c>
      <c r="D138" s="62">
        <v>86.5</v>
      </c>
      <c r="E138" s="62">
        <f>ROUND($D138*(1-INDEX(Table23[#All],MATCH($O138,Table23[[#All],[Discount Level]],0),MATCH(lettershopInsertFoldPricing[[#Headers],[≥ 5,000]],lettershopInsertFoldPricing[[#Headers],[≥ 1]:[≥ 150,000]],0))),2)</f>
        <v>73.53</v>
      </c>
      <c r="F138" s="62">
        <f>ROUND($D138*(1-INDEX(Table23[#All],MATCH($O138,Table23[[#All],[Discount Level]],0),MATCH(lettershopInsertFoldPricing[[#Headers],[≥ 10,000]],lettershopInsertFoldPricing[[#Headers],[≥ 1]:[≥ 150,000]],0))),2)</f>
        <v>64.88</v>
      </c>
      <c r="G138" s="62">
        <f>ROUND($D138*(1-INDEX(Table23[#All],MATCH($O138,Table23[[#All],[Discount Level]],0),MATCH(lettershopInsertFoldPricing[[#Headers],[≥ 15,000]],lettershopInsertFoldPricing[[#Headers],[≥ 1]:[≥ 150,000]],0))),2)</f>
        <v>56.23</v>
      </c>
      <c r="H138" s="62">
        <f>ROUND($D138*(1-INDEX(Table23[#All],MATCH($O138,Table23[[#All],[Discount Level]],0),MATCH(lettershopInsertFoldPricing[[#Headers],[≥ 20,000]],lettershopInsertFoldPricing[[#Headers],[≥ 1]:[≥ 150,000]],0))),2)</f>
        <v>51.9</v>
      </c>
      <c r="I138" s="62">
        <f>ROUND($D138*(1-INDEX(Table23[#All],MATCH($O138,Table23[[#All],[Discount Level]],0),MATCH(lettershopInsertFoldPricing[[#Headers],[≥ 25,000]],lettershopInsertFoldPricing[[#Headers],[≥ 1]:[≥ 150,000]],0))),2)</f>
        <v>47.58</v>
      </c>
      <c r="J138" s="62">
        <f>ROUND($D138*(1-INDEX(Table23[#All],MATCH($O138,Table23[[#All],[Discount Level]],0),MATCH(lettershopInsertFoldPricing[[#Headers],[≥ 35,000]],lettershopInsertFoldPricing[[#Headers],[≥ 1]:[≥ 150,000]],0))),2)</f>
        <v>43.25</v>
      </c>
      <c r="K138" s="62">
        <f>ROUND($D138*(1-INDEX(Table23[#All],MATCH($O138,Table23[[#All],[Discount Level]],0),MATCH(lettershopInsertFoldPricing[[#Headers],[≥ 50,000]],lettershopInsertFoldPricing[[#Headers],[≥ 1]:[≥ 150,000]],0))),2)</f>
        <v>41.52</v>
      </c>
      <c r="L138" s="62">
        <f>ROUND($D138*(1-INDEX(Table23[#All],MATCH($O138,Table23[[#All],[Discount Level]],0),MATCH(lettershopInsertFoldPricing[[#Headers],[≥ 75,000]],lettershopInsertFoldPricing[[#Headers],[≥ 1]:[≥ 150,000]],0))),2)</f>
        <v>40.659999999999997</v>
      </c>
      <c r="M138" s="62">
        <f>ROUND($D138*(1-INDEX(Table23[#All],MATCH($O138,Table23[[#All],[Discount Level]],0),MATCH(lettershopInsertFoldPricing[[#Headers],[≥ 100,000]],lettershopInsertFoldPricing[[#Headers],[≥ 1]:[≥ 150,000]],0))),2)</f>
        <v>39.79</v>
      </c>
      <c r="N138" s="62">
        <f>ROUND($D138*(1-INDEX(Table23[#All],MATCH($O138,Table23[[#All],[Discount Level]],0),MATCH(lettershopInsertFoldPricing[[#Headers],[≥ 150,000]],lettershopInsertFoldPricing[[#Headers],[≥ 1]:[≥ 150,000]],0))),2)</f>
        <v>38.93</v>
      </c>
      <c r="O138" s="16" t="s">
        <v>425</v>
      </c>
    </row>
    <row r="139" spans="1:15" ht="27" customHeight="1" x14ac:dyDescent="0.25">
      <c r="A139" s="316" t="s">
        <v>446</v>
      </c>
      <c r="B139" s="316" t="s">
        <v>450</v>
      </c>
      <c r="C139" s="63">
        <v>55</v>
      </c>
      <c r="D139" s="62">
        <v>97</v>
      </c>
      <c r="E139" s="62">
        <f>ROUND($D139*(1-INDEX(Table23[#All],MATCH($O139,Table23[[#All],[Discount Level]],0),MATCH(lettershopInsertFoldPricing[[#Headers],[≥ 5,000]],lettershopInsertFoldPricing[[#Headers],[≥ 1]:[≥ 150,000]],0))),2)</f>
        <v>82.45</v>
      </c>
      <c r="F139" s="62">
        <f>ROUND($D139*(1-INDEX(Table23[#All],MATCH($O139,Table23[[#All],[Discount Level]],0),MATCH(lettershopInsertFoldPricing[[#Headers],[≥ 10,000]],lettershopInsertFoldPricing[[#Headers],[≥ 1]:[≥ 150,000]],0))),2)</f>
        <v>72.75</v>
      </c>
      <c r="G139" s="62">
        <f>ROUND($D139*(1-INDEX(Table23[#All],MATCH($O139,Table23[[#All],[Discount Level]],0),MATCH(lettershopInsertFoldPricing[[#Headers],[≥ 15,000]],lettershopInsertFoldPricing[[#Headers],[≥ 1]:[≥ 150,000]],0))),2)</f>
        <v>63.05</v>
      </c>
      <c r="H139" s="62">
        <f>ROUND($D139*(1-INDEX(Table23[#All],MATCH($O139,Table23[[#All],[Discount Level]],0),MATCH(lettershopInsertFoldPricing[[#Headers],[≥ 20,000]],lettershopInsertFoldPricing[[#Headers],[≥ 1]:[≥ 150,000]],0))),2)</f>
        <v>58.2</v>
      </c>
      <c r="I139" s="62">
        <f>ROUND($D139*(1-INDEX(Table23[#All],MATCH($O139,Table23[[#All],[Discount Level]],0),MATCH(lettershopInsertFoldPricing[[#Headers],[≥ 25,000]],lettershopInsertFoldPricing[[#Headers],[≥ 1]:[≥ 150,000]],0))),2)</f>
        <v>53.35</v>
      </c>
      <c r="J139" s="62">
        <f>ROUND($D139*(1-INDEX(Table23[#All],MATCH($O139,Table23[[#All],[Discount Level]],0),MATCH(lettershopInsertFoldPricing[[#Headers],[≥ 35,000]],lettershopInsertFoldPricing[[#Headers],[≥ 1]:[≥ 150,000]],0))),2)</f>
        <v>48.5</v>
      </c>
      <c r="K139" s="62">
        <f>ROUND($D139*(1-INDEX(Table23[#All],MATCH($O139,Table23[[#All],[Discount Level]],0),MATCH(lettershopInsertFoldPricing[[#Headers],[≥ 50,000]],lettershopInsertFoldPricing[[#Headers],[≥ 1]:[≥ 150,000]],0))),2)</f>
        <v>46.56</v>
      </c>
      <c r="L139" s="62">
        <f>ROUND($D139*(1-INDEX(Table23[#All],MATCH($O139,Table23[[#All],[Discount Level]],0),MATCH(lettershopInsertFoldPricing[[#Headers],[≥ 75,000]],lettershopInsertFoldPricing[[#Headers],[≥ 1]:[≥ 150,000]],0))),2)</f>
        <v>45.59</v>
      </c>
      <c r="M139" s="62">
        <f>ROUND($D139*(1-INDEX(Table23[#All],MATCH($O139,Table23[[#All],[Discount Level]],0),MATCH(lettershopInsertFoldPricing[[#Headers],[≥ 100,000]],lettershopInsertFoldPricing[[#Headers],[≥ 1]:[≥ 150,000]],0))),2)</f>
        <v>44.62</v>
      </c>
      <c r="N139" s="62">
        <f>ROUND($D139*(1-INDEX(Table23[#All],MATCH($O139,Table23[[#All],[Discount Level]],0),MATCH(lettershopInsertFoldPricing[[#Headers],[≥ 150,000]],lettershopInsertFoldPricing[[#Headers],[≥ 1]:[≥ 150,000]],0))),2)</f>
        <v>43.65</v>
      </c>
      <c r="O139" s="16" t="s">
        <v>425</v>
      </c>
    </row>
    <row r="140" spans="1:15" ht="27" customHeight="1" x14ac:dyDescent="0.25">
      <c r="A140" s="316" t="s">
        <v>446</v>
      </c>
      <c r="B140" s="316" t="s">
        <v>451</v>
      </c>
      <c r="C140" s="63">
        <v>57.5</v>
      </c>
      <c r="D140" s="62">
        <v>99.5</v>
      </c>
      <c r="E140" s="62">
        <f>ROUND($D140*(1-INDEX(Table23[#All],MATCH($O140,Table23[[#All],[Discount Level]],0),MATCH(lettershopInsertFoldPricing[[#Headers],[≥ 5,000]],lettershopInsertFoldPricing[[#Headers],[≥ 1]:[≥ 150,000]],0))),2)</f>
        <v>84.58</v>
      </c>
      <c r="F140" s="62">
        <f>ROUND($D140*(1-INDEX(Table23[#All],MATCH($O140,Table23[[#All],[Discount Level]],0),MATCH(lettershopInsertFoldPricing[[#Headers],[≥ 10,000]],lettershopInsertFoldPricing[[#Headers],[≥ 1]:[≥ 150,000]],0))),2)</f>
        <v>74.63</v>
      </c>
      <c r="G140" s="62">
        <f>ROUND($D140*(1-INDEX(Table23[#All],MATCH($O140,Table23[[#All],[Discount Level]],0),MATCH(lettershopInsertFoldPricing[[#Headers],[≥ 15,000]],lettershopInsertFoldPricing[[#Headers],[≥ 1]:[≥ 150,000]],0))),2)</f>
        <v>64.680000000000007</v>
      </c>
      <c r="H140" s="62">
        <f>ROUND($D140*(1-INDEX(Table23[#All],MATCH($O140,Table23[[#All],[Discount Level]],0),MATCH(lettershopInsertFoldPricing[[#Headers],[≥ 20,000]],lettershopInsertFoldPricing[[#Headers],[≥ 1]:[≥ 150,000]],0))),2)</f>
        <v>59.7</v>
      </c>
      <c r="I140" s="62">
        <f>ROUND($D140*(1-INDEX(Table23[#All],MATCH($O140,Table23[[#All],[Discount Level]],0),MATCH(lettershopInsertFoldPricing[[#Headers],[≥ 25,000]],lettershopInsertFoldPricing[[#Headers],[≥ 1]:[≥ 150,000]],0))),2)</f>
        <v>54.73</v>
      </c>
      <c r="J140" s="62">
        <f>ROUND($D140*(1-INDEX(Table23[#All],MATCH($O140,Table23[[#All],[Discount Level]],0),MATCH(lettershopInsertFoldPricing[[#Headers],[≥ 35,000]],lettershopInsertFoldPricing[[#Headers],[≥ 1]:[≥ 150,000]],0))),2)</f>
        <v>49.75</v>
      </c>
      <c r="K140" s="62">
        <f>ROUND($D140*(1-INDEX(Table23[#All],MATCH($O140,Table23[[#All],[Discount Level]],0),MATCH(lettershopInsertFoldPricing[[#Headers],[≥ 50,000]],lettershopInsertFoldPricing[[#Headers],[≥ 1]:[≥ 150,000]],0))),2)</f>
        <v>47.76</v>
      </c>
      <c r="L140" s="62">
        <f>ROUND($D140*(1-INDEX(Table23[#All],MATCH($O140,Table23[[#All],[Discount Level]],0),MATCH(lettershopInsertFoldPricing[[#Headers],[≥ 75,000]],lettershopInsertFoldPricing[[#Headers],[≥ 1]:[≥ 150,000]],0))),2)</f>
        <v>46.77</v>
      </c>
      <c r="M140" s="62">
        <f>ROUND($D140*(1-INDEX(Table23[#All],MATCH($O140,Table23[[#All],[Discount Level]],0),MATCH(lettershopInsertFoldPricing[[#Headers],[≥ 100,000]],lettershopInsertFoldPricing[[#Headers],[≥ 1]:[≥ 150,000]],0))),2)</f>
        <v>45.77</v>
      </c>
      <c r="N140" s="62">
        <f>ROUND($D140*(1-INDEX(Table23[#All],MATCH($O140,Table23[[#All],[Discount Level]],0),MATCH(lettershopInsertFoldPricing[[#Headers],[≥ 150,000]],lettershopInsertFoldPricing[[#Headers],[≥ 1]:[≥ 150,000]],0))),2)</f>
        <v>44.78</v>
      </c>
      <c r="O140" s="16" t="s">
        <v>425</v>
      </c>
    </row>
    <row r="141" spans="1:15" ht="27" customHeight="1" x14ac:dyDescent="0.25">
      <c r="A141" s="316" t="s">
        <v>446</v>
      </c>
      <c r="B141" s="316" t="s">
        <v>452</v>
      </c>
      <c r="C141" s="63">
        <v>60</v>
      </c>
      <c r="D141" s="62">
        <v>102</v>
      </c>
      <c r="E141" s="62">
        <f>ROUND($D141*(1-INDEX(Table23[#All],MATCH($O141,Table23[[#All],[Discount Level]],0),MATCH(lettershopInsertFoldPricing[[#Headers],[≥ 5,000]],lettershopInsertFoldPricing[[#Headers],[≥ 1]:[≥ 150,000]],0))),2)</f>
        <v>86.7</v>
      </c>
      <c r="F141" s="62">
        <f>ROUND($D141*(1-INDEX(Table23[#All],MATCH($O141,Table23[[#All],[Discount Level]],0),MATCH(lettershopInsertFoldPricing[[#Headers],[≥ 10,000]],lettershopInsertFoldPricing[[#Headers],[≥ 1]:[≥ 150,000]],0))),2)</f>
        <v>76.5</v>
      </c>
      <c r="G141" s="62">
        <f>ROUND($D141*(1-INDEX(Table23[#All],MATCH($O141,Table23[[#All],[Discount Level]],0),MATCH(lettershopInsertFoldPricing[[#Headers],[≥ 15,000]],lettershopInsertFoldPricing[[#Headers],[≥ 1]:[≥ 150,000]],0))),2)</f>
        <v>66.3</v>
      </c>
      <c r="H141" s="62">
        <f>ROUND($D141*(1-INDEX(Table23[#All],MATCH($O141,Table23[[#All],[Discount Level]],0),MATCH(lettershopInsertFoldPricing[[#Headers],[≥ 20,000]],lettershopInsertFoldPricing[[#Headers],[≥ 1]:[≥ 150,000]],0))),2)</f>
        <v>61.2</v>
      </c>
      <c r="I141" s="62">
        <f>ROUND($D141*(1-INDEX(Table23[#All],MATCH($O141,Table23[[#All],[Discount Level]],0),MATCH(lettershopInsertFoldPricing[[#Headers],[≥ 25,000]],lettershopInsertFoldPricing[[#Headers],[≥ 1]:[≥ 150,000]],0))),2)</f>
        <v>56.1</v>
      </c>
      <c r="J141" s="62">
        <f>ROUND($D141*(1-INDEX(Table23[#All],MATCH($O141,Table23[[#All],[Discount Level]],0),MATCH(lettershopInsertFoldPricing[[#Headers],[≥ 35,000]],lettershopInsertFoldPricing[[#Headers],[≥ 1]:[≥ 150,000]],0))),2)</f>
        <v>51</v>
      </c>
      <c r="K141" s="62">
        <f>ROUND($D141*(1-INDEX(Table23[#All],MATCH($O141,Table23[[#All],[Discount Level]],0),MATCH(lettershopInsertFoldPricing[[#Headers],[≥ 50,000]],lettershopInsertFoldPricing[[#Headers],[≥ 1]:[≥ 150,000]],0))),2)</f>
        <v>48.96</v>
      </c>
      <c r="L141" s="62">
        <f>ROUND($D141*(1-INDEX(Table23[#All],MATCH($O141,Table23[[#All],[Discount Level]],0),MATCH(lettershopInsertFoldPricing[[#Headers],[≥ 75,000]],lettershopInsertFoldPricing[[#Headers],[≥ 1]:[≥ 150,000]],0))),2)</f>
        <v>47.94</v>
      </c>
      <c r="M141" s="62">
        <f>ROUND($D141*(1-INDEX(Table23[#All],MATCH($O141,Table23[[#All],[Discount Level]],0),MATCH(lettershopInsertFoldPricing[[#Headers],[≥ 100,000]],lettershopInsertFoldPricing[[#Headers],[≥ 1]:[≥ 150,000]],0))),2)</f>
        <v>46.92</v>
      </c>
      <c r="N141" s="62">
        <f>ROUND($D141*(1-INDEX(Table23[#All],MATCH($O141,Table23[[#All],[Discount Level]],0),MATCH(lettershopInsertFoldPricing[[#Headers],[≥ 150,000]],lettershopInsertFoldPricing[[#Headers],[≥ 1]:[≥ 150,000]],0))),2)</f>
        <v>45.9</v>
      </c>
      <c r="O141" s="16" t="s">
        <v>425</v>
      </c>
    </row>
    <row r="142" spans="1:15" ht="27" customHeight="1" x14ac:dyDescent="0.25">
      <c r="A142" s="316" t="s">
        <v>446</v>
      </c>
      <c r="B142" s="316" t="s">
        <v>453</v>
      </c>
      <c r="C142" s="63">
        <v>45</v>
      </c>
      <c r="D142" s="62">
        <v>92</v>
      </c>
      <c r="E142" s="62">
        <f>ROUND($D142*(1-INDEX(Table23[#All],MATCH($O142,Table23[[#All],[Discount Level]],0),MATCH(lettershopInsertFoldPricing[[#Headers],[≥ 5,000]],lettershopInsertFoldPricing[[#Headers],[≥ 1]:[≥ 150,000]],0))),2)</f>
        <v>78.2</v>
      </c>
      <c r="F142" s="62">
        <f>ROUND($D142*(1-INDEX(Table23[#All],MATCH($O142,Table23[[#All],[Discount Level]],0),MATCH(lettershopInsertFoldPricing[[#Headers],[≥ 10,000]],lettershopInsertFoldPricing[[#Headers],[≥ 1]:[≥ 150,000]],0))),2)</f>
        <v>69</v>
      </c>
      <c r="G142" s="62">
        <f>ROUND($D142*(1-INDEX(Table23[#All],MATCH($O142,Table23[[#All],[Discount Level]],0),MATCH(lettershopInsertFoldPricing[[#Headers],[≥ 15,000]],lettershopInsertFoldPricing[[#Headers],[≥ 1]:[≥ 150,000]],0))),2)</f>
        <v>59.8</v>
      </c>
      <c r="H142" s="62">
        <f>ROUND($D142*(1-INDEX(Table23[#All],MATCH($O142,Table23[[#All],[Discount Level]],0),MATCH(lettershopInsertFoldPricing[[#Headers],[≥ 20,000]],lettershopInsertFoldPricing[[#Headers],[≥ 1]:[≥ 150,000]],0))),2)</f>
        <v>55.2</v>
      </c>
      <c r="I142" s="62">
        <f>ROUND($D142*(1-INDEX(Table23[#All],MATCH($O142,Table23[[#All],[Discount Level]],0),MATCH(lettershopInsertFoldPricing[[#Headers],[≥ 25,000]],lettershopInsertFoldPricing[[#Headers],[≥ 1]:[≥ 150,000]],0))),2)</f>
        <v>50.6</v>
      </c>
      <c r="J142" s="62">
        <f>ROUND($D142*(1-INDEX(Table23[#All],MATCH($O142,Table23[[#All],[Discount Level]],0),MATCH(lettershopInsertFoldPricing[[#Headers],[≥ 35,000]],lettershopInsertFoldPricing[[#Headers],[≥ 1]:[≥ 150,000]],0))),2)</f>
        <v>46</v>
      </c>
      <c r="K142" s="62">
        <f>ROUND($D142*(1-INDEX(Table23[#All],MATCH($O142,Table23[[#All],[Discount Level]],0),MATCH(lettershopInsertFoldPricing[[#Headers],[≥ 50,000]],lettershopInsertFoldPricing[[#Headers],[≥ 1]:[≥ 150,000]],0))),2)</f>
        <v>44.16</v>
      </c>
      <c r="L142" s="62">
        <f>ROUND($D142*(1-INDEX(Table23[#All],MATCH($O142,Table23[[#All],[Discount Level]],0),MATCH(lettershopInsertFoldPricing[[#Headers],[≥ 75,000]],lettershopInsertFoldPricing[[#Headers],[≥ 1]:[≥ 150,000]],0))),2)</f>
        <v>43.24</v>
      </c>
      <c r="M142" s="62">
        <f>ROUND($D142*(1-INDEX(Table23[#All],MATCH($O142,Table23[[#All],[Discount Level]],0),MATCH(lettershopInsertFoldPricing[[#Headers],[≥ 100,000]],lettershopInsertFoldPricing[[#Headers],[≥ 1]:[≥ 150,000]],0))),2)</f>
        <v>42.32</v>
      </c>
      <c r="N142" s="62">
        <f>ROUND($D142*(1-INDEX(Table23[#All],MATCH($O142,Table23[[#All],[Discount Level]],0),MATCH(lettershopInsertFoldPricing[[#Headers],[≥ 150,000]],lettershopInsertFoldPricing[[#Headers],[≥ 1]:[≥ 150,000]],0))),2)</f>
        <v>41.4</v>
      </c>
      <c r="O142" s="16" t="s">
        <v>425</v>
      </c>
    </row>
    <row r="143" spans="1:15" ht="27" customHeight="1" x14ac:dyDescent="0.25">
      <c r="A143" s="316" t="s">
        <v>446</v>
      </c>
      <c r="B143" s="316" t="s">
        <v>454</v>
      </c>
      <c r="C143" s="63">
        <v>47.5</v>
      </c>
      <c r="D143" s="62">
        <v>94.5</v>
      </c>
      <c r="E143" s="62">
        <f>ROUND($D143*(1-INDEX(Table23[#All],MATCH($O143,Table23[[#All],[Discount Level]],0),MATCH(lettershopInsertFoldPricing[[#Headers],[≥ 5,000]],lettershopInsertFoldPricing[[#Headers],[≥ 1]:[≥ 150,000]],0))),2)</f>
        <v>80.33</v>
      </c>
      <c r="F143" s="62">
        <f>ROUND($D143*(1-INDEX(Table23[#All],MATCH($O143,Table23[[#All],[Discount Level]],0),MATCH(lettershopInsertFoldPricing[[#Headers],[≥ 10,000]],lettershopInsertFoldPricing[[#Headers],[≥ 1]:[≥ 150,000]],0))),2)</f>
        <v>70.88</v>
      </c>
      <c r="G143" s="62">
        <f>ROUND($D143*(1-INDEX(Table23[#All],MATCH($O143,Table23[[#All],[Discount Level]],0),MATCH(lettershopInsertFoldPricing[[#Headers],[≥ 15,000]],lettershopInsertFoldPricing[[#Headers],[≥ 1]:[≥ 150,000]],0))),2)</f>
        <v>61.43</v>
      </c>
      <c r="H143" s="62">
        <f>ROUND($D143*(1-INDEX(Table23[#All],MATCH($O143,Table23[[#All],[Discount Level]],0),MATCH(lettershopInsertFoldPricing[[#Headers],[≥ 20,000]],lettershopInsertFoldPricing[[#Headers],[≥ 1]:[≥ 150,000]],0))),2)</f>
        <v>56.7</v>
      </c>
      <c r="I143" s="62">
        <f>ROUND($D143*(1-INDEX(Table23[#All],MATCH($O143,Table23[[#All],[Discount Level]],0),MATCH(lettershopInsertFoldPricing[[#Headers],[≥ 25,000]],lettershopInsertFoldPricing[[#Headers],[≥ 1]:[≥ 150,000]],0))),2)</f>
        <v>51.98</v>
      </c>
      <c r="J143" s="62">
        <f>ROUND($D143*(1-INDEX(Table23[#All],MATCH($O143,Table23[[#All],[Discount Level]],0),MATCH(lettershopInsertFoldPricing[[#Headers],[≥ 35,000]],lettershopInsertFoldPricing[[#Headers],[≥ 1]:[≥ 150,000]],0))),2)</f>
        <v>47.25</v>
      </c>
      <c r="K143" s="62">
        <f>ROUND($D143*(1-INDEX(Table23[#All],MATCH($O143,Table23[[#All],[Discount Level]],0),MATCH(lettershopInsertFoldPricing[[#Headers],[≥ 50,000]],lettershopInsertFoldPricing[[#Headers],[≥ 1]:[≥ 150,000]],0))),2)</f>
        <v>45.36</v>
      </c>
      <c r="L143" s="62">
        <f>ROUND($D143*(1-INDEX(Table23[#All],MATCH($O143,Table23[[#All],[Discount Level]],0),MATCH(lettershopInsertFoldPricing[[#Headers],[≥ 75,000]],lettershopInsertFoldPricing[[#Headers],[≥ 1]:[≥ 150,000]],0))),2)</f>
        <v>44.42</v>
      </c>
      <c r="M143" s="62">
        <f>ROUND($D143*(1-INDEX(Table23[#All],MATCH($O143,Table23[[#All],[Discount Level]],0),MATCH(lettershopInsertFoldPricing[[#Headers],[≥ 100,000]],lettershopInsertFoldPricing[[#Headers],[≥ 1]:[≥ 150,000]],0))),2)</f>
        <v>43.47</v>
      </c>
      <c r="N143" s="62">
        <f>ROUND($D143*(1-INDEX(Table23[#All],MATCH($O143,Table23[[#All],[Discount Level]],0),MATCH(lettershopInsertFoldPricing[[#Headers],[≥ 150,000]],lettershopInsertFoldPricing[[#Headers],[≥ 1]:[≥ 150,000]],0))),2)</f>
        <v>42.53</v>
      </c>
      <c r="O143" s="16" t="s">
        <v>425</v>
      </c>
    </row>
    <row r="144" spans="1:15" ht="27" customHeight="1" x14ac:dyDescent="0.25">
      <c r="A144" s="316" t="s">
        <v>446</v>
      </c>
      <c r="B144" s="316" t="s">
        <v>455</v>
      </c>
      <c r="C144" s="63">
        <v>50</v>
      </c>
      <c r="D144" s="62">
        <v>97</v>
      </c>
      <c r="E144" s="62">
        <f>ROUND($D144*(1-INDEX(Table23[#All],MATCH($O144,Table23[[#All],[Discount Level]],0),MATCH(lettershopInsertFoldPricing[[#Headers],[≥ 5,000]],lettershopInsertFoldPricing[[#Headers],[≥ 1]:[≥ 150,000]],0))),2)</f>
        <v>82.45</v>
      </c>
      <c r="F144" s="62">
        <f>ROUND($D144*(1-INDEX(Table23[#All],MATCH($O144,Table23[[#All],[Discount Level]],0),MATCH(lettershopInsertFoldPricing[[#Headers],[≥ 10,000]],lettershopInsertFoldPricing[[#Headers],[≥ 1]:[≥ 150,000]],0))),2)</f>
        <v>72.75</v>
      </c>
      <c r="G144" s="62">
        <f>ROUND($D144*(1-INDEX(Table23[#All],MATCH($O144,Table23[[#All],[Discount Level]],0),MATCH(lettershopInsertFoldPricing[[#Headers],[≥ 15,000]],lettershopInsertFoldPricing[[#Headers],[≥ 1]:[≥ 150,000]],0))),2)</f>
        <v>63.05</v>
      </c>
      <c r="H144" s="62">
        <f>ROUND($D144*(1-INDEX(Table23[#All],MATCH($O144,Table23[[#All],[Discount Level]],0),MATCH(lettershopInsertFoldPricing[[#Headers],[≥ 20,000]],lettershopInsertFoldPricing[[#Headers],[≥ 1]:[≥ 150,000]],0))),2)</f>
        <v>58.2</v>
      </c>
      <c r="I144" s="62">
        <f>ROUND($D144*(1-INDEX(Table23[#All],MATCH($O144,Table23[[#All],[Discount Level]],0),MATCH(lettershopInsertFoldPricing[[#Headers],[≥ 25,000]],lettershopInsertFoldPricing[[#Headers],[≥ 1]:[≥ 150,000]],0))),2)</f>
        <v>53.35</v>
      </c>
      <c r="J144" s="62">
        <f>ROUND($D144*(1-INDEX(Table23[#All],MATCH($O144,Table23[[#All],[Discount Level]],0),MATCH(lettershopInsertFoldPricing[[#Headers],[≥ 35,000]],lettershopInsertFoldPricing[[#Headers],[≥ 1]:[≥ 150,000]],0))),2)</f>
        <v>48.5</v>
      </c>
      <c r="K144" s="62">
        <f>ROUND($D144*(1-INDEX(Table23[#All],MATCH($O144,Table23[[#All],[Discount Level]],0),MATCH(lettershopInsertFoldPricing[[#Headers],[≥ 50,000]],lettershopInsertFoldPricing[[#Headers],[≥ 1]:[≥ 150,000]],0))),2)</f>
        <v>46.56</v>
      </c>
      <c r="L144" s="62">
        <f>ROUND($D144*(1-INDEX(Table23[#All],MATCH($O144,Table23[[#All],[Discount Level]],0),MATCH(lettershopInsertFoldPricing[[#Headers],[≥ 75,000]],lettershopInsertFoldPricing[[#Headers],[≥ 1]:[≥ 150,000]],0))),2)</f>
        <v>45.59</v>
      </c>
      <c r="M144" s="62">
        <f>ROUND($D144*(1-INDEX(Table23[#All],MATCH($O144,Table23[[#All],[Discount Level]],0),MATCH(lettershopInsertFoldPricing[[#Headers],[≥ 100,000]],lettershopInsertFoldPricing[[#Headers],[≥ 1]:[≥ 150,000]],0))),2)</f>
        <v>44.62</v>
      </c>
      <c r="N144" s="62">
        <f>ROUND($D144*(1-INDEX(Table23[#All],MATCH($O144,Table23[[#All],[Discount Level]],0),MATCH(lettershopInsertFoldPricing[[#Headers],[≥ 150,000]],lettershopInsertFoldPricing[[#Headers],[≥ 1]:[≥ 150,000]],0))),2)</f>
        <v>43.65</v>
      </c>
      <c r="O144" s="16" t="s">
        <v>425</v>
      </c>
    </row>
    <row r="145" spans="1:15" ht="27" customHeight="1" x14ac:dyDescent="0.25">
      <c r="A145" s="316" t="s">
        <v>446</v>
      </c>
      <c r="B145" s="316" t="s">
        <v>456</v>
      </c>
      <c r="C145" s="63">
        <v>55</v>
      </c>
      <c r="D145" s="62">
        <v>107</v>
      </c>
      <c r="E145" s="62">
        <f>ROUND($D145*(1-INDEX(Table23[#All],MATCH($O145,Table23[[#All],[Discount Level]],0),MATCH(lettershopInsertFoldPricing[[#Headers],[≥ 5,000]],lettershopInsertFoldPricing[[#Headers],[≥ 1]:[≥ 150,000]],0))),2)</f>
        <v>90.95</v>
      </c>
      <c r="F145" s="62">
        <f>ROUND($D145*(1-INDEX(Table23[#All],MATCH($O145,Table23[[#All],[Discount Level]],0),MATCH(lettershopInsertFoldPricing[[#Headers],[≥ 10,000]],lettershopInsertFoldPricing[[#Headers],[≥ 1]:[≥ 150,000]],0))),2)</f>
        <v>80.25</v>
      </c>
      <c r="G145" s="62">
        <f>ROUND($D145*(1-INDEX(Table23[#All],MATCH($O145,Table23[[#All],[Discount Level]],0),MATCH(lettershopInsertFoldPricing[[#Headers],[≥ 15,000]],lettershopInsertFoldPricing[[#Headers],[≥ 1]:[≥ 150,000]],0))),2)</f>
        <v>69.55</v>
      </c>
      <c r="H145" s="62">
        <f>ROUND($D145*(1-INDEX(Table23[#All],MATCH($O145,Table23[[#All],[Discount Level]],0),MATCH(lettershopInsertFoldPricing[[#Headers],[≥ 20,000]],lettershopInsertFoldPricing[[#Headers],[≥ 1]:[≥ 150,000]],0))),2)</f>
        <v>64.2</v>
      </c>
      <c r="I145" s="62">
        <f>ROUND($D145*(1-INDEX(Table23[#All],MATCH($O145,Table23[[#All],[Discount Level]],0),MATCH(lettershopInsertFoldPricing[[#Headers],[≥ 25,000]],lettershopInsertFoldPricing[[#Headers],[≥ 1]:[≥ 150,000]],0))),2)</f>
        <v>58.85</v>
      </c>
      <c r="J145" s="62">
        <f>ROUND($D145*(1-INDEX(Table23[#All],MATCH($O145,Table23[[#All],[Discount Level]],0),MATCH(lettershopInsertFoldPricing[[#Headers],[≥ 35,000]],lettershopInsertFoldPricing[[#Headers],[≥ 1]:[≥ 150,000]],0))),2)</f>
        <v>53.5</v>
      </c>
      <c r="K145" s="62">
        <f>ROUND($D145*(1-INDEX(Table23[#All],MATCH($O145,Table23[[#All],[Discount Level]],0),MATCH(lettershopInsertFoldPricing[[#Headers],[≥ 50,000]],lettershopInsertFoldPricing[[#Headers],[≥ 1]:[≥ 150,000]],0))),2)</f>
        <v>51.36</v>
      </c>
      <c r="L145" s="62">
        <f>ROUND($D145*(1-INDEX(Table23[#All],MATCH($O145,Table23[[#All],[Discount Level]],0),MATCH(lettershopInsertFoldPricing[[#Headers],[≥ 75,000]],lettershopInsertFoldPricing[[#Headers],[≥ 1]:[≥ 150,000]],0))),2)</f>
        <v>50.29</v>
      </c>
      <c r="M145" s="62">
        <f>ROUND($D145*(1-INDEX(Table23[#All],MATCH($O145,Table23[[#All],[Discount Level]],0),MATCH(lettershopInsertFoldPricing[[#Headers],[≥ 100,000]],lettershopInsertFoldPricing[[#Headers],[≥ 1]:[≥ 150,000]],0))),2)</f>
        <v>49.22</v>
      </c>
      <c r="N145" s="62">
        <f>ROUND($D145*(1-INDEX(Table23[#All],MATCH($O145,Table23[[#All],[Discount Level]],0),MATCH(lettershopInsertFoldPricing[[#Headers],[≥ 150,000]],lettershopInsertFoldPricing[[#Headers],[≥ 1]:[≥ 150,000]],0))),2)</f>
        <v>48.15</v>
      </c>
      <c r="O145" s="16" t="s">
        <v>425</v>
      </c>
    </row>
    <row r="146" spans="1:15" ht="27" customHeight="1" x14ac:dyDescent="0.25">
      <c r="A146" s="316" t="s">
        <v>446</v>
      </c>
      <c r="B146" s="316" t="s">
        <v>457</v>
      </c>
      <c r="C146" s="63">
        <v>57.5</v>
      </c>
      <c r="D146" s="62">
        <v>109.5</v>
      </c>
      <c r="E146" s="62">
        <f>ROUND($D146*(1-INDEX(Table23[#All],MATCH($O146,Table23[[#All],[Discount Level]],0),MATCH(lettershopInsertFoldPricing[[#Headers],[≥ 5,000]],lettershopInsertFoldPricing[[#Headers],[≥ 1]:[≥ 150,000]],0))),2)</f>
        <v>93.08</v>
      </c>
      <c r="F146" s="62">
        <f>ROUND($D146*(1-INDEX(Table23[#All],MATCH($O146,Table23[[#All],[Discount Level]],0),MATCH(lettershopInsertFoldPricing[[#Headers],[≥ 10,000]],lettershopInsertFoldPricing[[#Headers],[≥ 1]:[≥ 150,000]],0))),2)</f>
        <v>82.13</v>
      </c>
      <c r="G146" s="62">
        <f>ROUND($D146*(1-INDEX(Table23[#All],MATCH($O146,Table23[[#All],[Discount Level]],0),MATCH(lettershopInsertFoldPricing[[#Headers],[≥ 15,000]],lettershopInsertFoldPricing[[#Headers],[≥ 1]:[≥ 150,000]],0))),2)</f>
        <v>71.180000000000007</v>
      </c>
      <c r="H146" s="62">
        <f>ROUND($D146*(1-INDEX(Table23[#All],MATCH($O146,Table23[[#All],[Discount Level]],0),MATCH(lettershopInsertFoldPricing[[#Headers],[≥ 20,000]],lettershopInsertFoldPricing[[#Headers],[≥ 1]:[≥ 150,000]],0))),2)</f>
        <v>65.7</v>
      </c>
      <c r="I146" s="62">
        <f>ROUND($D146*(1-INDEX(Table23[#All],MATCH($O146,Table23[[#All],[Discount Level]],0),MATCH(lettershopInsertFoldPricing[[#Headers],[≥ 25,000]],lettershopInsertFoldPricing[[#Headers],[≥ 1]:[≥ 150,000]],0))),2)</f>
        <v>60.23</v>
      </c>
      <c r="J146" s="62">
        <f>ROUND($D146*(1-INDEX(Table23[#All],MATCH($O146,Table23[[#All],[Discount Level]],0),MATCH(lettershopInsertFoldPricing[[#Headers],[≥ 35,000]],lettershopInsertFoldPricing[[#Headers],[≥ 1]:[≥ 150,000]],0))),2)</f>
        <v>54.75</v>
      </c>
      <c r="K146" s="62">
        <f>ROUND($D146*(1-INDEX(Table23[#All],MATCH($O146,Table23[[#All],[Discount Level]],0),MATCH(lettershopInsertFoldPricing[[#Headers],[≥ 50,000]],lettershopInsertFoldPricing[[#Headers],[≥ 1]:[≥ 150,000]],0))),2)</f>
        <v>52.56</v>
      </c>
      <c r="L146" s="62">
        <f>ROUND($D146*(1-INDEX(Table23[#All],MATCH($O146,Table23[[#All],[Discount Level]],0),MATCH(lettershopInsertFoldPricing[[#Headers],[≥ 75,000]],lettershopInsertFoldPricing[[#Headers],[≥ 1]:[≥ 150,000]],0))),2)</f>
        <v>51.47</v>
      </c>
      <c r="M146" s="62">
        <f>ROUND($D146*(1-INDEX(Table23[#All],MATCH($O146,Table23[[#All],[Discount Level]],0),MATCH(lettershopInsertFoldPricing[[#Headers],[≥ 100,000]],lettershopInsertFoldPricing[[#Headers],[≥ 1]:[≥ 150,000]],0))),2)</f>
        <v>50.37</v>
      </c>
      <c r="N146" s="62">
        <f>ROUND($D146*(1-INDEX(Table23[#All],MATCH($O146,Table23[[#All],[Discount Level]],0),MATCH(lettershopInsertFoldPricing[[#Headers],[≥ 150,000]],lettershopInsertFoldPricing[[#Headers],[≥ 1]:[≥ 150,000]],0))),2)</f>
        <v>49.28</v>
      </c>
      <c r="O146" s="16" t="s">
        <v>425</v>
      </c>
    </row>
    <row r="147" spans="1:15" ht="27" customHeight="1" x14ac:dyDescent="0.25">
      <c r="A147" s="316" t="s">
        <v>446</v>
      </c>
      <c r="B147" s="316" t="s">
        <v>458</v>
      </c>
      <c r="C147" s="63">
        <v>60</v>
      </c>
      <c r="D147" s="62">
        <v>112</v>
      </c>
      <c r="E147" s="62">
        <f>ROUND($D147*(1-INDEX(Table23[#All],MATCH($O147,Table23[[#All],[Discount Level]],0),MATCH(lettershopInsertFoldPricing[[#Headers],[≥ 5,000]],lettershopInsertFoldPricing[[#Headers],[≥ 1]:[≥ 150,000]],0))),2)</f>
        <v>95.2</v>
      </c>
      <c r="F147" s="62">
        <f>ROUND($D147*(1-INDEX(Table23[#All],MATCH($O147,Table23[[#All],[Discount Level]],0),MATCH(lettershopInsertFoldPricing[[#Headers],[≥ 10,000]],lettershopInsertFoldPricing[[#Headers],[≥ 1]:[≥ 150,000]],0))),2)</f>
        <v>84</v>
      </c>
      <c r="G147" s="62">
        <f>ROUND($D147*(1-INDEX(Table23[#All],MATCH($O147,Table23[[#All],[Discount Level]],0),MATCH(lettershopInsertFoldPricing[[#Headers],[≥ 15,000]],lettershopInsertFoldPricing[[#Headers],[≥ 1]:[≥ 150,000]],0))),2)</f>
        <v>72.8</v>
      </c>
      <c r="H147" s="62">
        <f>ROUND($D147*(1-INDEX(Table23[#All],MATCH($O147,Table23[[#All],[Discount Level]],0),MATCH(lettershopInsertFoldPricing[[#Headers],[≥ 20,000]],lettershopInsertFoldPricing[[#Headers],[≥ 1]:[≥ 150,000]],0))),2)</f>
        <v>67.2</v>
      </c>
      <c r="I147" s="62">
        <f>ROUND($D147*(1-INDEX(Table23[#All],MATCH($O147,Table23[[#All],[Discount Level]],0),MATCH(lettershopInsertFoldPricing[[#Headers],[≥ 25,000]],lettershopInsertFoldPricing[[#Headers],[≥ 1]:[≥ 150,000]],0))),2)</f>
        <v>61.6</v>
      </c>
      <c r="J147" s="62">
        <f>ROUND($D147*(1-INDEX(Table23[#All],MATCH($O147,Table23[[#All],[Discount Level]],0),MATCH(lettershopInsertFoldPricing[[#Headers],[≥ 35,000]],lettershopInsertFoldPricing[[#Headers],[≥ 1]:[≥ 150,000]],0))),2)</f>
        <v>56</v>
      </c>
      <c r="K147" s="62">
        <f>ROUND($D147*(1-INDEX(Table23[#All],MATCH($O147,Table23[[#All],[Discount Level]],0),MATCH(lettershopInsertFoldPricing[[#Headers],[≥ 50,000]],lettershopInsertFoldPricing[[#Headers],[≥ 1]:[≥ 150,000]],0))),2)</f>
        <v>53.76</v>
      </c>
      <c r="L147" s="62">
        <f>ROUND($D147*(1-INDEX(Table23[#All],MATCH($O147,Table23[[#All],[Discount Level]],0),MATCH(lettershopInsertFoldPricing[[#Headers],[≥ 75,000]],lettershopInsertFoldPricing[[#Headers],[≥ 1]:[≥ 150,000]],0))),2)</f>
        <v>52.64</v>
      </c>
      <c r="M147" s="62">
        <f>ROUND($D147*(1-INDEX(Table23[#All],MATCH($O147,Table23[[#All],[Discount Level]],0),MATCH(lettershopInsertFoldPricing[[#Headers],[≥ 100,000]],lettershopInsertFoldPricing[[#Headers],[≥ 1]:[≥ 150,000]],0))),2)</f>
        <v>51.52</v>
      </c>
      <c r="N147" s="62">
        <f>ROUND($D147*(1-INDEX(Table23[#All],MATCH($O147,Table23[[#All],[Discount Level]],0),MATCH(lettershopInsertFoldPricing[[#Headers],[≥ 150,000]],lettershopInsertFoldPricing[[#Headers],[≥ 1]:[≥ 150,000]],0))),2)</f>
        <v>50.4</v>
      </c>
      <c r="O147" s="16" t="s">
        <v>425</v>
      </c>
    </row>
    <row r="148" spans="1:15" ht="27" customHeight="1" x14ac:dyDescent="0.25">
      <c r="A148" s="316" t="s">
        <v>469</v>
      </c>
      <c r="B148" s="316" t="s">
        <v>255</v>
      </c>
      <c r="C148" s="63">
        <v>20</v>
      </c>
      <c r="D148" s="62">
        <v>18.5</v>
      </c>
      <c r="E148" s="62">
        <f>ROUND($D148*(1-INDEX(Table23[#All],MATCH($O148,Table23[[#All],[Discount Level]],0),MATCH(lettershopInsertFoldPricing[[#Headers],[≥ 5,000]],lettershopInsertFoldPricing[[#Headers],[≥ 1]:[≥ 150,000]],0))),2)</f>
        <v>17.579999999999998</v>
      </c>
      <c r="F148" s="62">
        <f>ROUND($D148*(1-INDEX(Table23[#All],MATCH($O148,Table23[[#All],[Discount Level]],0),MATCH(lettershopInsertFoldPricing[[#Headers],[≥ 10,000]],lettershopInsertFoldPricing[[#Headers],[≥ 1]:[≥ 150,000]],0))),2)</f>
        <v>16.649999999999999</v>
      </c>
      <c r="G148" s="62">
        <f>ROUND($D148*(1-INDEX(Table23[#All],MATCH($O148,Table23[[#All],[Discount Level]],0),MATCH(lettershopInsertFoldPricing[[#Headers],[≥ 15,000]],lettershopInsertFoldPricing[[#Headers],[≥ 1]:[≥ 150,000]],0))),2)</f>
        <v>15.73</v>
      </c>
      <c r="H148" s="62">
        <f>ROUND($D148*(1-INDEX(Table23[#All],MATCH($O148,Table23[[#All],[Discount Level]],0),MATCH(lettershopInsertFoldPricing[[#Headers],[≥ 20,000]],lettershopInsertFoldPricing[[#Headers],[≥ 1]:[≥ 150,000]],0))),2)</f>
        <v>14.8</v>
      </c>
      <c r="I148" s="62">
        <f>ROUND($D148*(1-INDEX(Table23[#All],MATCH($O148,Table23[[#All],[Discount Level]],0),MATCH(lettershopInsertFoldPricing[[#Headers],[≥ 25,000]],lettershopInsertFoldPricing[[#Headers],[≥ 1]:[≥ 150,000]],0))),2)</f>
        <v>13.88</v>
      </c>
      <c r="J148" s="62">
        <f>ROUND($D148*(1-INDEX(Table23[#All],MATCH($O148,Table23[[#All],[Discount Level]],0),MATCH(lettershopInsertFoldPricing[[#Headers],[≥ 35,000]],lettershopInsertFoldPricing[[#Headers],[≥ 1]:[≥ 150,000]],0))),2)</f>
        <v>12.95</v>
      </c>
      <c r="K148" s="62">
        <f>ROUND($D148*(1-INDEX(Table23[#All],MATCH($O148,Table23[[#All],[Discount Level]],0),MATCH(lettershopInsertFoldPricing[[#Headers],[≥ 50,000]],lettershopInsertFoldPricing[[#Headers],[≥ 1]:[≥ 150,000]],0))),2)</f>
        <v>12.03</v>
      </c>
      <c r="L148" s="62">
        <f>ROUND($D148*(1-INDEX(Table23[#All],MATCH($O148,Table23[[#All],[Discount Level]],0),MATCH(lettershopInsertFoldPricing[[#Headers],[≥ 75,000]],lettershopInsertFoldPricing[[#Headers],[≥ 1]:[≥ 150,000]],0))),2)</f>
        <v>11.56</v>
      </c>
      <c r="M148" s="62">
        <f>ROUND($D148*(1-INDEX(Table23[#All],MATCH($O148,Table23[[#All],[Discount Level]],0),MATCH(lettershopInsertFoldPricing[[#Headers],[≥ 100,000]],lettershopInsertFoldPricing[[#Headers],[≥ 1]:[≥ 150,000]],0))),2)</f>
        <v>11.1</v>
      </c>
      <c r="N148" s="62">
        <f>ROUND($D148*(1-INDEX(Table23[#All],MATCH($O148,Table23[[#All],[Discount Level]],0),MATCH(lettershopInsertFoldPricing[[#Headers],[≥ 150,000]],lettershopInsertFoldPricing[[#Headers],[≥ 1]:[≥ 150,000]],0))),2)</f>
        <v>10.64</v>
      </c>
      <c r="O148" s="16" t="s">
        <v>410</v>
      </c>
    </row>
    <row r="149" spans="1:15" ht="27" customHeight="1" x14ac:dyDescent="0.25">
      <c r="A149" s="316" t="s">
        <v>469</v>
      </c>
      <c r="B149" s="316" t="s">
        <v>832</v>
      </c>
      <c r="C149" s="63">
        <v>25</v>
      </c>
      <c r="D149" s="62">
        <v>29</v>
      </c>
      <c r="E149" s="62">
        <f>ROUND($D149*(1-INDEX(Table23[#All],MATCH($O149,Table23[[#All],[Discount Level]],0),MATCH(lettershopInsertFoldPricing[[#Headers],[≥ 5,000]],lettershopInsertFoldPricing[[#Headers],[≥ 1]:[≥ 150,000]],0))),2)</f>
        <v>27.55</v>
      </c>
      <c r="F149" s="62">
        <f>ROUND($D149*(1-INDEX(Table23[#All],MATCH($O149,Table23[[#All],[Discount Level]],0),MATCH(lettershopInsertFoldPricing[[#Headers],[≥ 10,000]],lettershopInsertFoldPricing[[#Headers],[≥ 1]:[≥ 150,000]],0))),2)</f>
        <v>26.1</v>
      </c>
      <c r="G149" s="62">
        <f>ROUND($D149*(1-INDEX(Table23[#All],MATCH($O149,Table23[[#All],[Discount Level]],0),MATCH(lettershopInsertFoldPricing[[#Headers],[≥ 15,000]],lettershopInsertFoldPricing[[#Headers],[≥ 1]:[≥ 150,000]],0))),2)</f>
        <v>24.65</v>
      </c>
      <c r="H149" s="62">
        <f>ROUND($D149*(1-INDEX(Table23[#All],MATCH($O149,Table23[[#All],[Discount Level]],0),MATCH(lettershopInsertFoldPricing[[#Headers],[≥ 20,000]],lettershopInsertFoldPricing[[#Headers],[≥ 1]:[≥ 150,000]],0))),2)</f>
        <v>23.2</v>
      </c>
      <c r="I149" s="62">
        <f>ROUND($D149*(1-INDEX(Table23[#All],MATCH($O149,Table23[[#All],[Discount Level]],0),MATCH(lettershopInsertFoldPricing[[#Headers],[≥ 25,000]],lettershopInsertFoldPricing[[#Headers],[≥ 1]:[≥ 150,000]],0))),2)</f>
        <v>21.75</v>
      </c>
      <c r="J149" s="62">
        <f>ROUND($D149*(1-INDEX(Table23[#All],MATCH($O149,Table23[[#All],[Discount Level]],0),MATCH(lettershopInsertFoldPricing[[#Headers],[≥ 35,000]],lettershopInsertFoldPricing[[#Headers],[≥ 1]:[≥ 150,000]],0))),2)</f>
        <v>20.3</v>
      </c>
      <c r="K149" s="62">
        <f>ROUND($D149*(1-INDEX(Table23[#All],MATCH($O149,Table23[[#All],[Discount Level]],0),MATCH(lettershopInsertFoldPricing[[#Headers],[≥ 50,000]],lettershopInsertFoldPricing[[#Headers],[≥ 1]:[≥ 150,000]],0))),2)</f>
        <v>18.850000000000001</v>
      </c>
      <c r="L149" s="62">
        <f>ROUND($D149*(1-INDEX(Table23[#All],MATCH($O149,Table23[[#All],[Discount Level]],0),MATCH(lettershopInsertFoldPricing[[#Headers],[≥ 75,000]],lettershopInsertFoldPricing[[#Headers],[≥ 1]:[≥ 150,000]],0))),2)</f>
        <v>18.13</v>
      </c>
      <c r="M149" s="62">
        <f>ROUND($D149*(1-INDEX(Table23[#All],MATCH($O149,Table23[[#All],[Discount Level]],0),MATCH(lettershopInsertFoldPricing[[#Headers],[≥ 100,000]],lettershopInsertFoldPricing[[#Headers],[≥ 1]:[≥ 150,000]],0))),2)</f>
        <v>17.399999999999999</v>
      </c>
      <c r="N149" s="62">
        <f>ROUND($D149*(1-INDEX(Table23[#All],MATCH($O149,Table23[[#All],[Discount Level]],0),MATCH(lettershopInsertFoldPricing[[#Headers],[≥ 150,000]],lettershopInsertFoldPricing[[#Headers],[≥ 1]:[≥ 150,000]],0))),2)</f>
        <v>16.68</v>
      </c>
      <c r="O149" s="16" t="s">
        <v>410</v>
      </c>
    </row>
    <row r="150" spans="1:15" ht="27" customHeight="1" x14ac:dyDescent="0.25">
      <c r="A150" s="316" t="s">
        <v>469</v>
      </c>
      <c r="B150" s="316" t="s">
        <v>833</v>
      </c>
      <c r="C150" s="63">
        <v>25</v>
      </c>
      <c r="D150" s="62">
        <v>31</v>
      </c>
      <c r="E150" s="62">
        <f>ROUND($D150*(1-INDEX(Table23[#All],MATCH($O150,Table23[[#All],[Discount Level]],0),MATCH(lettershopInsertFoldPricing[[#Headers],[≥ 5,000]],lettershopInsertFoldPricing[[#Headers],[≥ 1]:[≥ 150,000]],0))),2)</f>
        <v>29.45</v>
      </c>
      <c r="F150" s="62">
        <f>ROUND($D150*(1-INDEX(Table23[#All],MATCH($O150,Table23[[#All],[Discount Level]],0),MATCH(lettershopInsertFoldPricing[[#Headers],[≥ 10,000]],lettershopInsertFoldPricing[[#Headers],[≥ 1]:[≥ 150,000]],0))),2)</f>
        <v>27.9</v>
      </c>
      <c r="G150" s="62">
        <f>ROUND($D150*(1-INDEX(Table23[#All],MATCH($O150,Table23[[#All],[Discount Level]],0),MATCH(lettershopInsertFoldPricing[[#Headers],[≥ 15,000]],lettershopInsertFoldPricing[[#Headers],[≥ 1]:[≥ 150,000]],0))),2)</f>
        <v>26.35</v>
      </c>
      <c r="H150" s="62">
        <f>ROUND($D150*(1-INDEX(Table23[#All],MATCH($O150,Table23[[#All],[Discount Level]],0),MATCH(lettershopInsertFoldPricing[[#Headers],[≥ 20,000]],lettershopInsertFoldPricing[[#Headers],[≥ 1]:[≥ 150,000]],0))),2)</f>
        <v>24.8</v>
      </c>
      <c r="I150" s="62">
        <f>ROUND($D150*(1-INDEX(Table23[#All],MATCH($O150,Table23[[#All],[Discount Level]],0),MATCH(lettershopInsertFoldPricing[[#Headers],[≥ 25,000]],lettershopInsertFoldPricing[[#Headers],[≥ 1]:[≥ 150,000]],0))),2)</f>
        <v>23.25</v>
      </c>
      <c r="J150" s="62">
        <f>ROUND($D150*(1-INDEX(Table23[#All],MATCH($O150,Table23[[#All],[Discount Level]],0),MATCH(lettershopInsertFoldPricing[[#Headers],[≥ 35,000]],lettershopInsertFoldPricing[[#Headers],[≥ 1]:[≥ 150,000]],0))),2)</f>
        <v>21.7</v>
      </c>
      <c r="K150" s="62">
        <f>ROUND($D150*(1-INDEX(Table23[#All],MATCH($O150,Table23[[#All],[Discount Level]],0),MATCH(lettershopInsertFoldPricing[[#Headers],[≥ 50,000]],lettershopInsertFoldPricing[[#Headers],[≥ 1]:[≥ 150,000]],0))),2)</f>
        <v>20.149999999999999</v>
      </c>
      <c r="L150" s="62">
        <f>ROUND($D150*(1-INDEX(Table23[#All],MATCH($O150,Table23[[#All],[Discount Level]],0),MATCH(lettershopInsertFoldPricing[[#Headers],[≥ 75,000]],lettershopInsertFoldPricing[[#Headers],[≥ 1]:[≥ 150,000]],0))),2)</f>
        <v>19.38</v>
      </c>
      <c r="M150" s="62">
        <f>ROUND($D150*(1-INDEX(Table23[#All],MATCH($O150,Table23[[#All],[Discount Level]],0),MATCH(lettershopInsertFoldPricing[[#Headers],[≥ 100,000]],lettershopInsertFoldPricing[[#Headers],[≥ 1]:[≥ 150,000]],0))),2)</f>
        <v>18.600000000000001</v>
      </c>
      <c r="N150" s="62">
        <f>ROUND($D150*(1-INDEX(Table23[#All],MATCH($O150,Table23[[#All],[Discount Level]],0),MATCH(lettershopInsertFoldPricing[[#Headers],[≥ 150,000]],lettershopInsertFoldPricing[[#Headers],[≥ 1]:[≥ 150,000]],0))),2)</f>
        <v>17.829999999999998</v>
      </c>
      <c r="O150" s="16" t="s">
        <v>410</v>
      </c>
    </row>
    <row r="151" spans="1:15" ht="27" customHeight="1" x14ac:dyDescent="0.25">
      <c r="A151" s="316" t="s">
        <v>469</v>
      </c>
      <c r="B151" s="316" t="s">
        <v>256</v>
      </c>
      <c r="C151" s="63">
        <v>25</v>
      </c>
      <c r="D151" s="62">
        <v>21</v>
      </c>
      <c r="E151" s="62">
        <f>ROUND($D151*(1-INDEX(Table23[#All],MATCH($O151,Table23[[#All],[Discount Level]],0),MATCH(lettershopInsertFoldPricing[[#Headers],[≥ 5,000]],lettershopInsertFoldPricing[[#Headers],[≥ 1]:[≥ 150,000]],0))),2)</f>
        <v>19.95</v>
      </c>
      <c r="F151" s="62">
        <f>ROUND($D151*(1-INDEX(Table23[#All],MATCH($O151,Table23[[#All],[Discount Level]],0),MATCH(lettershopInsertFoldPricing[[#Headers],[≥ 10,000]],lettershopInsertFoldPricing[[#Headers],[≥ 1]:[≥ 150,000]],0))),2)</f>
        <v>18.899999999999999</v>
      </c>
      <c r="G151" s="62">
        <f>ROUND($D151*(1-INDEX(Table23[#All],MATCH($O151,Table23[[#All],[Discount Level]],0),MATCH(lettershopInsertFoldPricing[[#Headers],[≥ 15,000]],lettershopInsertFoldPricing[[#Headers],[≥ 1]:[≥ 150,000]],0))),2)</f>
        <v>17.850000000000001</v>
      </c>
      <c r="H151" s="62">
        <f>ROUND($D151*(1-INDEX(Table23[#All],MATCH($O151,Table23[[#All],[Discount Level]],0),MATCH(lettershopInsertFoldPricing[[#Headers],[≥ 20,000]],lettershopInsertFoldPricing[[#Headers],[≥ 1]:[≥ 150,000]],0))),2)</f>
        <v>16.8</v>
      </c>
      <c r="I151" s="62">
        <f>ROUND($D151*(1-INDEX(Table23[#All],MATCH($O151,Table23[[#All],[Discount Level]],0),MATCH(lettershopInsertFoldPricing[[#Headers],[≥ 25,000]],lettershopInsertFoldPricing[[#Headers],[≥ 1]:[≥ 150,000]],0))),2)</f>
        <v>15.75</v>
      </c>
      <c r="J151" s="62">
        <f>ROUND($D151*(1-INDEX(Table23[#All],MATCH($O151,Table23[[#All],[Discount Level]],0),MATCH(lettershopInsertFoldPricing[[#Headers],[≥ 35,000]],lettershopInsertFoldPricing[[#Headers],[≥ 1]:[≥ 150,000]],0))),2)</f>
        <v>14.7</v>
      </c>
      <c r="K151" s="62">
        <f>ROUND($D151*(1-INDEX(Table23[#All],MATCH($O151,Table23[[#All],[Discount Level]],0),MATCH(lettershopInsertFoldPricing[[#Headers],[≥ 50,000]],lettershopInsertFoldPricing[[#Headers],[≥ 1]:[≥ 150,000]],0))),2)</f>
        <v>13.65</v>
      </c>
      <c r="L151" s="62">
        <f>ROUND($D151*(1-INDEX(Table23[#All],MATCH($O151,Table23[[#All],[Discount Level]],0),MATCH(lettershopInsertFoldPricing[[#Headers],[≥ 75,000]],lettershopInsertFoldPricing[[#Headers],[≥ 1]:[≥ 150,000]],0))),2)</f>
        <v>13.13</v>
      </c>
      <c r="M151" s="62">
        <f>ROUND($D151*(1-INDEX(Table23[#All],MATCH($O151,Table23[[#All],[Discount Level]],0),MATCH(lettershopInsertFoldPricing[[#Headers],[≥ 100,000]],lettershopInsertFoldPricing[[#Headers],[≥ 1]:[≥ 150,000]],0))),2)</f>
        <v>12.6</v>
      </c>
      <c r="N151" s="62">
        <f>ROUND($D151*(1-INDEX(Table23[#All],MATCH($O151,Table23[[#All],[Discount Level]],0),MATCH(lettershopInsertFoldPricing[[#Headers],[≥ 150,000]],lettershopInsertFoldPricing[[#Headers],[≥ 1]:[≥ 150,000]],0))),2)</f>
        <v>12.08</v>
      </c>
      <c r="O151" s="16" t="s">
        <v>410</v>
      </c>
    </row>
    <row r="152" spans="1:15" ht="27" customHeight="1" x14ac:dyDescent="0.25">
      <c r="A152" s="316" t="s">
        <v>469</v>
      </c>
      <c r="B152" s="316" t="s">
        <v>834</v>
      </c>
      <c r="C152" s="63">
        <v>20</v>
      </c>
      <c r="D152" s="62">
        <v>21</v>
      </c>
      <c r="E152" s="62">
        <f>ROUND($D152*(1-INDEX(Table23[#All],MATCH($O152,Table23[[#All],[Discount Level]],0),MATCH(lettershopInsertFoldPricing[[#Headers],[≥ 5,000]],lettershopInsertFoldPricing[[#Headers],[≥ 1]:[≥ 150,000]],0))),2)</f>
        <v>19.95</v>
      </c>
      <c r="F152" s="62">
        <f>ROUND($D152*(1-INDEX(Table23[#All],MATCH($O152,Table23[[#All],[Discount Level]],0),MATCH(lettershopInsertFoldPricing[[#Headers],[≥ 10,000]],lettershopInsertFoldPricing[[#Headers],[≥ 1]:[≥ 150,000]],0))),2)</f>
        <v>18.899999999999999</v>
      </c>
      <c r="G152" s="62">
        <f>ROUND($D152*(1-INDEX(Table23[#All],MATCH($O152,Table23[[#All],[Discount Level]],0),MATCH(lettershopInsertFoldPricing[[#Headers],[≥ 15,000]],lettershopInsertFoldPricing[[#Headers],[≥ 1]:[≥ 150,000]],0))),2)</f>
        <v>17.850000000000001</v>
      </c>
      <c r="H152" s="62">
        <f>ROUND($D152*(1-INDEX(Table23[#All],MATCH($O152,Table23[[#All],[Discount Level]],0),MATCH(lettershopInsertFoldPricing[[#Headers],[≥ 20,000]],lettershopInsertFoldPricing[[#Headers],[≥ 1]:[≥ 150,000]],0))),2)</f>
        <v>16.8</v>
      </c>
      <c r="I152" s="62">
        <f>ROUND($D152*(1-INDEX(Table23[#All],MATCH($O152,Table23[[#All],[Discount Level]],0),MATCH(lettershopInsertFoldPricing[[#Headers],[≥ 25,000]],lettershopInsertFoldPricing[[#Headers],[≥ 1]:[≥ 150,000]],0))),2)</f>
        <v>15.75</v>
      </c>
      <c r="J152" s="62">
        <f>ROUND($D152*(1-INDEX(Table23[#All],MATCH($O152,Table23[[#All],[Discount Level]],0),MATCH(lettershopInsertFoldPricing[[#Headers],[≥ 35,000]],lettershopInsertFoldPricing[[#Headers],[≥ 1]:[≥ 150,000]],0))),2)</f>
        <v>14.7</v>
      </c>
      <c r="K152" s="62">
        <f>ROUND($D152*(1-INDEX(Table23[#All],MATCH($O152,Table23[[#All],[Discount Level]],0),MATCH(lettershopInsertFoldPricing[[#Headers],[≥ 50,000]],lettershopInsertFoldPricing[[#Headers],[≥ 1]:[≥ 150,000]],0))),2)</f>
        <v>13.65</v>
      </c>
      <c r="L152" s="62">
        <f>ROUND($D152*(1-INDEX(Table23[#All],MATCH($O152,Table23[[#All],[Discount Level]],0),MATCH(lettershopInsertFoldPricing[[#Headers],[≥ 75,000]],lettershopInsertFoldPricing[[#Headers],[≥ 1]:[≥ 150,000]],0))),2)</f>
        <v>13.13</v>
      </c>
      <c r="M152" s="62">
        <f>ROUND($D152*(1-INDEX(Table23[#All],MATCH($O152,Table23[[#All],[Discount Level]],0),MATCH(lettershopInsertFoldPricing[[#Headers],[≥ 100,000]],lettershopInsertFoldPricing[[#Headers],[≥ 1]:[≥ 150,000]],0))),2)</f>
        <v>12.6</v>
      </c>
      <c r="N152" s="62">
        <f>ROUND($D152*(1-INDEX(Table23[#All],MATCH($O152,Table23[[#All],[Discount Level]],0),MATCH(lettershopInsertFoldPricing[[#Headers],[≥ 150,000]],lettershopInsertFoldPricing[[#Headers],[≥ 1]:[≥ 150,000]],0))),2)</f>
        <v>12.08</v>
      </c>
      <c r="O152" s="16" t="s">
        <v>410</v>
      </c>
    </row>
    <row r="153" spans="1:15" ht="27" customHeight="1" x14ac:dyDescent="0.25">
      <c r="A153" s="316" t="s">
        <v>469</v>
      </c>
      <c r="B153" s="316" t="s">
        <v>835</v>
      </c>
      <c r="C153" s="63">
        <v>20</v>
      </c>
      <c r="D153" s="62">
        <v>29</v>
      </c>
      <c r="E153" s="62">
        <f>ROUND($D153*(1-INDEX(Table23[#All],MATCH($O153,Table23[[#All],[Discount Level]],0),MATCH(lettershopInsertFoldPricing[[#Headers],[≥ 5,000]],lettershopInsertFoldPricing[[#Headers],[≥ 1]:[≥ 150,000]],0))),2)</f>
        <v>27.55</v>
      </c>
      <c r="F153" s="62">
        <f>ROUND($D153*(1-INDEX(Table23[#All],MATCH($O153,Table23[[#All],[Discount Level]],0),MATCH(lettershopInsertFoldPricing[[#Headers],[≥ 10,000]],lettershopInsertFoldPricing[[#Headers],[≥ 1]:[≥ 150,000]],0))),2)</f>
        <v>26.1</v>
      </c>
      <c r="G153" s="62">
        <f>ROUND($D153*(1-INDEX(Table23[#All],MATCH($O153,Table23[[#All],[Discount Level]],0),MATCH(lettershopInsertFoldPricing[[#Headers],[≥ 15,000]],lettershopInsertFoldPricing[[#Headers],[≥ 1]:[≥ 150,000]],0))),2)</f>
        <v>24.65</v>
      </c>
      <c r="H153" s="62">
        <f>ROUND($D153*(1-INDEX(Table23[#All],MATCH($O153,Table23[[#All],[Discount Level]],0),MATCH(lettershopInsertFoldPricing[[#Headers],[≥ 20,000]],lettershopInsertFoldPricing[[#Headers],[≥ 1]:[≥ 150,000]],0))),2)</f>
        <v>23.2</v>
      </c>
      <c r="I153" s="62">
        <f>ROUND($D153*(1-INDEX(Table23[#All],MATCH($O153,Table23[[#All],[Discount Level]],0),MATCH(lettershopInsertFoldPricing[[#Headers],[≥ 25,000]],lettershopInsertFoldPricing[[#Headers],[≥ 1]:[≥ 150,000]],0))),2)</f>
        <v>21.75</v>
      </c>
      <c r="J153" s="62">
        <f>ROUND($D153*(1-INDEX(Table23[#All],MATCH($O153,Table23[[#All],[Discount Level]],0),MATCH(lettershopInsertFoldPricing[[#Headers],[≥ 35,000]],lettershopInsertFoldPricing[[#Headers],[≥ 1]:[≥ 150,000]],0))),2)</f>
        <v>20.3</v>
      </c>
      <c r="K153" s="62">
        <f>ROUND($D153*(1-INDEX(Table23[#All],MATCH($O153,Table23[[#All],[Discount Level]],0),MATCH(lettershopInsertFoldPricing[[#Headers],[≥ 50,000]],lettershopInsertFoldPricing[[#Headers],[≥ 1]:[≥ 150,000]],0))),2)</f>
        <v>18.850000000000001</v>
      </c>
      <c r="L153" s="62">
        <f>ROUND($D153*(1-INDEX(Table23[#All],MATCH($O153,Table23[[#All],[Discount Level]],0),MATCH(lettershopInsertFoldPricing[[#Headers],[≥ 75,000]],lettershopInsertFoldPricing[[#Headers],[≥ 1]:[≥ 150,000]],0))),2)</f>
        <v>18.13</v>
      </c>
      <c r="M153" s="62">
        <f>ROUND($D153*(1-INDEX(Table23[#All],MATCH($O153,Table23[[#All],[Discount Level]],0),MATCH(lettershopInsertFoldPricing[[#Headers],[≥ 100,000]],lettershopInsertFoldPricing[[#Headers],[≥ 1]:[≥ 150,000]],0))),2)</f>
        <v>17.399999999999999</v>
      </c>
      <c r="N153" s="62">
        <f>ROUND($D153*(1-INDEX(Table23[#All],MATCH($O153,Table23[[#All],[Discount Level]],0),MATCH(lettershopInsertFoldPricing[[#Headers],[≥ 150,000]],lettershopInsertFoldPricing[[#Headers],[≥ 1]:[≥ 150,000]],0))),2)</f>
        <v>16.68</v>
      </c>
      <c r="O153" s="16" t="s">
        <v>410</v>
      </c>
    </row>
    <row r="155" spans="1:15" ht="27" customHeight="1" x14ac:dyDescent="0.25">
      <c r="A155" s="308" t="s">
        <v>470</v>
      </c>
      <c r="B155" s="308"/>
      <c r="C155" s="178"/>
    </row>
    <row r="156" spans="1:15" s="11" customFormat="1" ht="27" customHeight="1" x14ac:dyDescent="0.25">
      <c r="A156" s="313" t="s">
        <v>212</v>
      </c>
      <c r="B156" s="309" t="s">
        <v>233</v>
      </c>
      <c r="C156" s="87" t="s">
        <v>208</v>
      </c>
    </row>
    <row r="157" spans="1:15" ht="27" customHeight="1" x14ac:dyDescent="0.25">
      <c r="A157" s="314"/>
      <c r="B157" s="310" t="s">
        <v>471</v>
      </c>
      <c r="C157" s="86">
        <v>20</v>
      </c>
    </row>
    <row r="158" spans="1:15" ht="27" customHeight="1" x14ac:dyDescent="0.25">
      <c r="A158" s="315"/>
      <c r="B158" s="311" t="s">
        <v>472</v>
      </c>
      <c r="C158" s="67">
        <v>1</v>
      </c>
    </row>
    <row r="159" spans="1:15" ht="27" customHeight="1" x14ac:dyDescent="0.25">
      <c r="A159" s="314"/>
      <c r="B159" s="310" t="s">
        <v>473</v>
      </c>
      <c r="C159" s="86">
        <v>1.5</v>
      </c>
    </row>
    <row r="161" spans="1:15" ht="27" customHeight="1" x14ac:dyDescent="0.25">
      <c r="A161" s="299" t="s">
        <v>474</v>
      </c>
      <c r="B161" s="299"/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</row>
    <row r="162" spans="1:15" s="11" customFormat="1" ht="27" customHeight="1" x14ac:dyDescent="0.25">
      <c r="A162" s="307" t="s">
        <v>212</v>
      </c>
      <c r="B162" s="307" t="s">
        <v>233</v>
      </c>
      <c r="C162" s="88" t="s">
        <v>431</v>
      </c>
      <c r="D162" s="71" t="s">
        <v>400</v>
      </c>
      <c r="E162" s="71" t="s">
        <v>428</v>
      </c>
      <c r="F162" s="71" t="s">
        <v>401</v>
      </c>
      <c r="G162" s="71" t="s">
        <v>429</v>
      </c>
      <c r="H162" s="71" t="s">
        <v>402</v>
      </c>
      <c r="I162" s="71" t="s">
        <v>403</v>
      </c>
      <c r="J162" s="71" t="s">
        <v>430</v>
      </c>
      <c r="K162" s="71" t="s">
        <v>404</v>
      </c>
      <c r="L162" s="71" t="s">
        <v>405</v>
      </c>
      <c r="M162" s="71" t="s">
        <v>406</v>
      </c>
      <c r="N162" s="71" t="s">
        <v>407</v>
      </c>
      <c r="O162" s="77" t="s">
        <v>491</v>
      </c>
    </row>
    <row r="163" spans="1:15" ht="27" customHeight="1" x14ac:dyDescent="0.25">
      <c r="A163" s="316" t="s">
        <v>476</v>
      </c>
      <c r="B163" s="316" t="s">
        <v>477</v>
      </c>
      <c r="C163" s="63">
        <v>25</v>
      </c>
      <c r="D163" s="62">
        <v>20.5</v>
      </c>
      <c r="E163" s="62">
        <f>ROUND($D163*(1-INDEX(Table23[#All],MATCH($O163,Table23[[#All],[Discount Level]],0),MATCH(Table29[[#Headers],[≥ 5,000]],Table29[[#Headers],[≥ 1]:[≥ 150,000]],0))),2)</f>
        <v>18.96</v>
      </c>
      <c r="F163" s="62">
        <f>ROUND($D163*(1-INDEX(Table23[#All],MATCH($O163,Table23[[#All],[Discount Level]],0),MATCH(Table29[[#Headers],[≥ 10,000]],Table29[[#Headers],[≥ 1]:[≥ 150,000]],0))),2)</f>
        <v>17.940000000000001</v>
      </c>
      <c r="G163" s="62">
        <f>ROUND($D163*(1-INDEX(Table23[#All],MATCH($O163,Table23[[#All],[Discount Level]],0),MATCH(Table29[[#Headers],[≥ 15,000]],Table29[[#Headers],[≥ 1]:[≥ 150,000]],0))),2)</f>
        <v>16.91</v>
      </c>
      <c r="H163" s="62">
        <f>ROUND($D163*(1-INDEX(Table23[#All],MATCH($O163,Table23[[#All],[Discount Level]],0),MATCH(Table29[[#Headers],[≥ 20,000]],Table29[[#Headers],[≥ 1]:[≥ 150,000]],0))),2)</f>
        <v>16.399999999999999</v>
      </c>
      <c r="I163" s="62">
        <f>ROUND($D163*(1-INDEX(Table23[#All],MATCH($O163,Table23[[#All],[Discount Level]],0),MATCH(Table29[[#Headers],[≥ 25,000]],Table29[[#Headers],[≥ 1]:[≥ 150,000]],0))),2)</f>
        <v>15.89</v>
      </c>
      <c r="J163" s="62">
        <f>ROUND($D163*(1-INDEX(Table23[#All],MATCH($O163,Table23[[#All],[Discount Level]],0),MATCH(Table29[[#Headers],[≥ 35,000]],Table29[[#Headers],[≥ 1]:[≥ 150,000]],0))),2)</f>
        <v>15.38</v>
      </c>
      <c r="K163" s="62">
        <f>ROUND($D163*(1-INDEX(Table23[#All],MATCH($O163,Table23[[#All],[Discount Level]],0),MATCH(Table29[[#Headers],[≥ 50,000]],Table29[[#Headers],[≥ 1]:[≥ 150,000]],0))),2)</f>
        <v>14.86</v>
      </c>
      <c r="L163" s="62">
        <f>ROUND($D163*(1-INDEX(Table23[#All],MATCH($O163,Table23[[#All],[Discount Level]],0),MATCH(Table29[[#Headers],[≥ 75,000]],Table29[[#Headers],[≥ 1]:[≥ 150,000]],0))),2)</f>
        <v>14.35</v>
      </c>
      <c r="M163" s="62">
        <f>ROUND($D163*(1-INDEX(Table23[#All],MATCH($O163,Table23[[#All],[Discount Level]],0),MATCH(Table29[[#Headers],[≥ 100,000]],Table29[[#Headers],[≥ 1]:[≥ 150,000]],0))),2)</f>
        <v>13.84</v>
      </c>
      <c r="N163" s="62">
        <f>ROUND($D163*(1-INDEX(Table23[#All],MATCH($O163,Table23[[#All],[Discount Level]],0),MATCH(Table29[[#Headers],[≥ 150,000]],Table29[[#Headers],[≥ 1]:[≥ 150,000]],0))),2)</f>
        <v>13.33</v>
      </c>
      <c r="O163" s="16" t="s">
        <v>475</v>
      </c>
    </row>
    <row r="164" spans="1:15" ht="27" customHeight="1" x14ac:dyDescent="0.25">
      <c r="A164" s="316" t="s">
        <v>476</v>
      </c>
      <c r="B164" s="316" t="s">
        <v>836</v>
      </c>
      <c r="C164" s="63">
        <v>25</v>
      </c>
      <c r="D164" s="62">
        <v>22.5</v>
      </c>
      <c r="E164" s="62">
        <f>ROUND($D164*(1-INDEX(Table23[#All],MATCH($O164,Table23[[#All],[Discount Level]],0),MATCH(Table29[[#Headers],[≥ 5,000]],Table29[[#Headers],[≥ 1]:[≥ 150,000]],0))),2)</f>
        <v>20.81</v>
      </c>
      <c r="F164" s="62">
        <f>ROUND($D164*(1-INDEX(Table23[#All],MATCH($O164,Table23[[#All],[Discount Level]],0),MATCH(Table29[[#Headers],[≥ 10,000]],Table29[[#Headers],[≥ 1]:[≥ 150,000]],0))),2)</f>
        <v>19.690000000000001</v>
      </c>
      <c r="G164" s="62">
        <f>ROUND($D164*(1-INDEX(Table23[#All],MATCH($O164,Table23[[#All],[Discount Level]],0),MATCH(Table29[[#Headers],[≥ 15,000]],Table29[[#Headers],[≥ 1]:[≥ 150,000]],0))),2)</f>
        <v>18.559999999999999</v>
      </c>
      <c r="H164" s="62">
        <f>ROUND($D164*(1-INDEX(Table23[#All],MATCH($O164,Table23[[#All],[Discount Level]],0),MATCH(Table29[[#Headers],[≥ 20,000]],Table29[[#Headers],[≥ 1]:[≥ 150,000]],0))),2)</f>
        <v>18</v>
      </c>
      <c r="I164" s="62">
        <f>ROUND($D164*(1-INDEX(Table23[#All],MATCH($O164,Table23[[#All],[Discount Level]],0),MATCH(Table29[[#Headers],[≥ 25,000]],Table29[[#Headers],[≥ 1]:[≥ 150,000]],0))),2)</f>
        <v>17.440000000000001</v>
      </c>
      <c r="J164" s="62">
        <f>ROUND($D164*(1-INDEX(Table23[#All],MATCH($O164,Table23[[#All],[Discount Level]],0),MATCH(Table29[[#Headers],[≥ 35,000]],Table29[[#Headers],[≥ 1]:[≥ 150,000]],0))),2)</f>
        <v>16.88</v>
      </c>
      <c r="K164" s="62">
        <f>ROUND($D164*(1-INDEX(Table23[#All],MATCH($O164,Table23[[#All],[Discount Level]],0),MATCH(Table29[[#Headers],[≥ 50,000]],Table29[[#Headers],[≥ 1]:[≥ 150,000]],0))),2)</f>
        <v>16.309999999999999</v>
      </c>
      <c r="L164" s="62">
        <f>ROUND($D164*(1-INDEX(Table23[#All],MATCH($O164,Table23[[#All],[Discount Level]],0),MATCH(Table29[[#Headers],[≥ 75,000]],Table29[[#Headers],[≥ 1]:[≥ 150,000]],0))),2)</f>
        <v>15.75</v>
      </c>
      <c r="M164" s="62">
        <f>ROUND($D164*(1-INDEX(Table23[#All],MATCH($O164,Table23[[#All],[Discount Level]],0),MATCH(Table29[[#Headers],[≥ 100,000]],Table29[[#Headers],[≥ 1]:[≥ 150,000]],0))),2)</f>
        <v>15.19</v>
      </c>
      <c r="N164" s="62">
        <f>ROUND($D164*(1-INDEX(Table23[#All],MATCH($O164,Table23[[#All],[Discount Level]],0),MATCH(Table29[[#Headers],[≥ 150,000]],Table29[[#Headers],[≥ 1]:[≥ 150,000]],0))),2)</f>
        <v>14.63</v>
      </c>
      <c r="O164" s="16" t="s">
        <v>475</v>
      </c>
    </row>
    <row r="165" spans="1:15" ht="27" customHeight="1" x14ac:dyDescent="0.25">
      <c r="A165" s="316" t="s">
        <v>476</v>
      </c>
      <c r="B165" s="316" t="s">
        <v>837</v>
      </c>
      <c r="C165" s="63">
        <v>30</v>
      </c>
      <c r="D165" s="62">
        <v>47</v>
      </c>
      <c r="E165" s="62">
        <f>ROUND($D165*(1-INDEX(Table23[#All],MATCH($O165,Table23[[#All],[Discount Level]],0),MATCH(Table29[[#Headers],[≥ 5,000]],Table29[[#Headers],[≥ 1]:[≥ 150,000]],0))),2)</f>
        <v>43.48</v>
      </c>
      <c r="F165" s="62">
        <f>ROUND($D165*(1-INDEX(Table23[#All],MATCH($O165,Table23[[#All],[Discount Level]],0),MATCH(Table29[[#Headers],[≥ 10,000]],Table29[[#Headers],[≥ 1]:[≥ 150,000]],0))),2)</f>
        <v>41.13</v>
      </c>
      <c r="G165" s="62">
        <f>ROUND($D165*(1-INDEX(Table23[#All],MATCH($O165,Table23[[#All],[Discount Level]],0),MATCH(Table29[[#Headers],[≥ 15,000]],Table29[[#Headers],[≥ 1]:[≥ 150,000]],0))),2)</f>
        <v>38.78</v>
      </c>
      <c r="H165" s="62">
        <f>ROUND($D165*(1-INDEX(Table23[#All],MATCH($O165,Table23[[#All],[Discount Level]],0),MATCH(Table29[[#Headers],[≥ 20,000]],Table29[[#Headers],[≥ 1]:[≥ 150,000]],0))),2)</f>
        <v>37.6</v>
      </c>
      <c r="I165" s="62">
        <f>ROUND($D165*(1-INDEX(Table23[#All],MATCH($O165,Table23[[#All],[Discount Level]],0),MATCH(Table29[[#Headers],[≥ 25,000]],Table29[[#Headers],[≥ 1]:[≥ 150,000]],0))),2)</f>
        <v>36.43</v>
      </c>
      <c r="J165" s="62">
        <f>ROUND($D165*(1-INDEX(Table23[#All],MATCH($O165,Table23[[#All],[Discount Level]],0),MATCH(Table29[[#Headers],[≥ 35,000]],Table29[[#Headers],[≥ 1]:[≥ 150,000]],0))),2)</f>
        <v>35.25</v>
      </c>
      <c r="K165" s="62">
        <f>ROUND($D165*(1-INDEX(Table23[#All],MATCH($O165,Table23[[#All],[Discount Level]],0),MATCH(Table29[[#Headers],[≥ 50,000]],Table29[[#Headers],[≥ 1]:[≥ 150,000]],0))),2)</f>
        <v>34.08</v>
      </c>
      <c r="L165" s="62">
        <f>ROUND($D165*(1-INDEX(Table23[#All],MATCH($O165,Table23[[#All],[Discount Level]],0),MATCH(Table29[[#Headers],[≥ 75,000]],Table29[[#Headers],[≥ 1]:[≥ 150,000]],0))),2)</f>
        <v>32.9</v>
      </c>
      <c r="M165" s="62">
        <f>ROUND($D165*(1-INDEX(Table23[#All],MATCH($O165,Table23[[#All],[Discount Level]],0),MATCH(Table29[[#Headers],[≥ 100,000]],Table29[[#Headers],[≥ 1]:[≥ 150,000]],0))),2)</f>
        <v>31.73</v>
      </c>
      <c r="N165" s="62">
        <f>ROUND($D165*(1-INDEX(Table23[#All],MATCH($O165,Table23[[#All],[Discount Level]],0),MATCH(Table29[[#Headers],[≥ 150,000]],Table29[[#Headers],[≥ 1]:[≥ 150,000]],0))),2)</f>
        <v>30.55</v>
      </c>
      <c r="O165" s="16" t="s">
        <v>475</v>
      </c>
    </row>
    <row r="166" spans="1:15" ht="27" customHeight="1" x14ac:dyDescent="0.25">
      <c r="A166" s="316" t="s">
        <v>476</v>
      </c>
      <c r="B166" s="316" t="s">
        <v>838</v>
      </c>
      <c r="C166" s="63">
        <v>30</v>
      </c>
      <c r="D166" s="62">
        <v>51</v>
      </c>
      <c r="E166" s="62">
        <f>ROUND($D166*(1-INDEX(Table23[#All],MATCH($O166,Table23[[#All],[Discount Level]],0),MATCH(Table29[[#Headers],[≥ 5,000]],Table29[[#Headers],[≥ 1]:[≥ 150,000]],0))),2)</f>
        <v>47.18</v>
      </c>
      <c r="F166" s="62">
        <f>ROUND($D166*(1-INDEX(Table23[#All],MATCH($O166,Table23[[#All],[Discount Level]],0),MATCH(Table29[[#Headers],[≥ 10,000]],Table29[[#Headers],[≥ 1]:[≥ 150,000]],0))),2)</f>
        <v>44.63</v>
      </c>
      <c r="G166" s="62">
        <f>ROUND($D166*(1-INDEX(Table23[#All],MATCH($O166,Table23[[#All],[Discount Level]],0),MATCH(Table29[[#Headers],[≥ 15,000]],Table29[[#Headers],[≥ 1]:[≥ 150,000]],0))),2)</f>
        <v>42.08</v>
      </c>
      <c r="H166" s="62">
        <f>ROUND($D166*(1-INDEX(Table23[#All],MATCH($O166,Table23[[#All],[Discount Level]],0),MATCH(Table29[[#Headers],[≥ 20,000]],Table29[[#Headers],[≥ 1]:[≥ 150,000]],0))),2)</f>
        <v>40.799999999999997</v>
      </c>
      <c r="I166" s="62">
        <f>ROUND($D166*(1-INDEX(Table23[#All],MATCH($O166,Table23[[#All],[Discount Level]],0),MATCH(Table29[[#Headers],[≥ 25,000]],Table29[[#Headers],[≥ 1]:[≥ 150,000]],0))),2)</f>
        <v>39.53</v>
      </c>
      <c r="J166" s="62">
        <f>ROUND($D166*(1-INDEX(Table23[#All],MATCH($O166,Table23[[#All],[Discount Level]],0),MATCH(Table29[[#Headers],[≥ 35,000]],Table29[[#Headers],[≥ 1]:[≥ 150,000]],0))),2)</f>
        <v>38.25</v>
      </c>
      <c r="K166" s="62">
        <f>ROUND($D166*(1-INDEX(Table23[#All],MATCH($O166,Table23[[#All],[Discount Level]],0),MATCH(Table29[[#Headers],[≥ 50,000]],Table29[[#Headers],[≥ 1]:[≥ 150,000]],0))),2)</f>
        <v>36.979999999999997</v>
      </c>
      <c r="L166" s="62">
        <f>ROUND($D166*(1-INDEX(Table23[#All],MATCH($O166,Table23[[#All],[Discount Level]],0),MATCH(Table29[[#Headers],[≥ 75,000]],Table29[[#Headers],[≥ 1]:[≥ 150,000]],0))),2)</f>
        <v>35.700000000000003</v>
      </c>
      <c r="M166" s="62">
        <f>ROUND($D166*(1-INDEX(Table23[#All],MATCH($O166,Table23[[#All],[Discount Level]],0),MATCH(Table29[[#Headers],[≥ 100,000]],Table29[[#Headers],[≥ 1]:[≥ 150,000]],0))),2)</f>
        <v>34.43</v>
      </c>
      <c r="N166" s="62">
        <f>ROUND($D166*(1-INDEX(Table23[#All],MATCH($O166,Table23[[#All],[Discount Level]],0),MATCH(Table29[[#Headers],[≥ 150,000]],Table29[[#Headers],[≥ 1]:[≥ 150,000]],0))),2)</f>
        <v>33.15</v>
      </c>
      <c r="O166" s="16" t="s">
        <v>475</v>
      </c>
    </row>
    <row r="167" spans="1:15" ht="27" customHeight="1" x14ac:dyDescent="0.25">
      <c r="A167" s="316" t="s">
        <v>476</v>
      </c>
      <c r="B167" s="316" t="s">
        <v>839</v>
      </c>
      <c r="C167" s="63">
        <v>35</v>
      </c>
      <c r="D167" s="62">
        <v>66.5</v>
      </c>
      <c r="E167" s="62">
        <f>ROUND($D167*(1-INDEX(Table23[#All],MATCH($O167,Table23[[#All],[Discount Level]],0),MATCH(Table29[[#Headers],[≥ 5,000]],Table29[[#Headers],[≥ 1]:[≥ 150,000]],0))),2)</f>
        <v>61.51</v>
      </c>
      <c r="F167" s="62">
        <f>ROUND($D167*(1-INDEX(Table23[#All],MATCH($O167,Table23[[#All],[Discount Level]],0),MATCH(Table29[[#Headers],[≥ 10,000]],Table29[[#Headers],[≥ 1]:[≥ 150,000]],0))),2)</f>
        <v>58.19</v>
      </c>
      <c r="G167" s="62">
        <f>ROUND($D167*(1-INDEX(Table23[#All],MATCH($O167,Table23[[#All],[Discount Level]],0),MATCH(Table29[[#Headers],[≥ 15,000]],Table29[[#Headers],[≥ 1]:[≥ 150,000]],0))),2)</f>
        <v>54.86</v>
      </c>
      <c r="H167" s="62">
        <f>ROUND($D167*(1-INDEX(Table23[#All],MATCH($O167,Table23[[#All],[Discount Level]],0),MATCH(Table29[[#Headers],[≥ 20,000]],Table29[[#Headers],[≥ 1]:[≥ 150,000]],0))),2)</f>
        <v>53.2</v>
      </c>
      <c r="I167" s="62">
        <f>ROUND($D167*(1-INDEX(Table23[#All],MATCH($O167,Table23[[#All],[Discount Level]],0),MATCH(Table29[[#Headers],[≥ 25,000]],Table29[[#Headers],[≥ 1]:[≥ 150,000]],0))),2)</f>
        <v>51.54</v>
      </c>
      <c r="J167" s="62">
        <f>ROUND($D167*(1-INDEX(Table23[#All],MATCH($O167,Table23[[#All],[Discount Level]],0),MATCH(Table29[[#Headers],[≥ 35,000]],Table29[[#Headers],[≥ 1]:[≥ 150,000]],0))),2)</f>
        <v>49.88</v>
      </c>
      <c r="K167" s="62">
        <f>ROUND($D167*(1-INDEX(Table23[#All],MATCH($O167,Table23[[#All],[Discount Level]],0),MATCH(Table29[[#Headers],[≥ 50,000]],Table29[[#Headers],[≥ 1]:[≥ 150,000]],0))),2)</f>
        <v>48.21</v>
      </c>
      <c r="L167" s="62">
        <f>ROUND($D167*(1-INDEX(Table23[#All],MATCH($O167,Table23[[#All],[Discount Level]],0),MATCH(Table29[[#Headers],[≥ 75,000]],Table29[[#Headers],[≥ 1]:[≥ 150,000]],0))),2)</f>
        <v>46.55</v>
      </c>
      <c r="M167" s="62">
        <f>ROUND($D167*(1-INDEX(Table23[#All],MATCH($O167,Table23[[#All],[Discount Level]],0),MATCH(Table29[[#Headers],[≥ 100,000]],Table29[[#Headers],[≥ 1]:[≥ 150,000]],0))),2)</f>
        <v>44.89</v>
      </c>
      <c r="N167" s="62">
        <f>ROUND($D167*(1-INDEX(Table23[#All],MATCH($O167,Table23[[#All],[Discount Level]],0),MATCH(Table29[[#Headers],[≥ 150,000]],Table29[[#Headers],[≥ 1]:[≥ 150,000]],0))),2)</f>
        <v>43.23</v>
      </c>
      <c r="O167" s="16" t="s">
        <v>475</v>
      </c>
    </row>
    <row r="168" spans="1:15" ht="27" customHeight="1" x14ac:dyDescent="0.25">
      <c r="A168" s="316" t="s">
        <v>476</v>
      </c>
      <c r="B168" s="316" t="s">
        <v>840</v>
      </c>
      <c r="C168" s="63">
        <v>35</v>
      </c>
      <c r="D168" s="62">
        <v>73.5</v>
      </c>
      <c r="E168" s="62">
        <f>ROUND($D168*(1-INDEX(Table23[#All],MATCH($O168,Table23[[#All],[Discount Level]],0),MATCH(Table29[[#Headers],[≥ 5,000]],Table29[[#Headers],[≥ 1]:[≥ 150,000]],0))),2)</f>
        <v>67.989999999999995</v>
      </c>
      <c r="F168" s="62">
        <f>ROUND($D168*(1-INDEX(Table23[#All],MATCH($O168,Table23[[#All],[Discount Level]],0),MATCH(Table29[[#Headers],[≥ 10,000]],Table29[[#Headers],[≥ 1]:[≥ 150,000]],0))),2)</f>
        <v>64.31</v>
      </c>
      <c r="G168" s="62">
        <f>ROUND($D168*(1-INDEX(Table23[#All],MATCH($O168,Table23[[#All],[Discount Level]],0),MATCH(Table29[[#Headers],[≥ 15,000]],Table29[[#Headers],[≥ 1]:[≥ 150,000]],0))),2)</f>
        <v>60.64</v>
      </c>
      <c r="H168" s="62">
        <f>ROUND($D168*(1-INDEX(Table23[#All],MATCH($O168,Table23[[#All],[Discount Level]],0),MATCH(Table29[[#Headers],[≥ 20,000]],Table29[[#Headers],[≥ 1]:[≥ 150,000]],0))),2)</f>
        <v>58.8</v>
      </c>
      <c r="I168" s="62">
        <f>ROUND($D168*(1-INDEX(Table23[#All],MATCH($O168,Table23[[#All],[Discount Level]],0),MATCH(Table29[[#Headers],[≥ 25,000]],Table29[[#Headers],[≥ 1]:[≥ 150,000]],0))),2)</f>
        <v>56.96</v>
      </c>
      <c r="J168" s="62">
        <f>ROUND($D168*(1-INDEX(Table23[#All],MATCH($O168,Table23[[#All],[Discount Level]],0),MATCH(Table29[[#Headers],[≥ 35,000]],Table29[[#Headers],[≥ 1]:[≥ 150,000]],0))),2)</f>
        <v>55.13</v>
      </c>
      <c r="K168" s="62">
        <f>ROUND($D168*(1-INDEX(Table23[#All],MATCH($O168,Table23[[#All],[Discount Level]],0),MATCH(Table29[[#Headers],[≥ 50,000]],Table29[[#Headers],[≥ 1]:[≥ 150,000]],0))),2)</f>
        <v>53.29</v>
      </c>
      <c r="L168" s="62">
        <f>ROUND($D168*(1-INDEX(Table23[#All],MATCH($O168,Table23[[#All],[Discount Level]],0),MATCH(Table29[[#Headers],[≥ 75,000]],Table29[[#Headers],[≥ 1]:[≥ 150,000]],0))),2)</f>
        <v>51.45</v>
      </c>
      <c r="M168" s="62">
        <f>ROUND($D168*(1-INDEX(Table23[#All],MATCH($O168,Table23[[#All],[Discount Level]],0),MATCH(Table29[[#Headers],[≥ 100,000]],Table29[[#Headers],[≥ 1]:[≥ 150,000]],0))),2)</f>
        <v>49.61</v>
      </c>
      <c r="N168" s="62">
        <f>ROUND($D168*(1-INDEX(Table23[#All],MATCH($O168,Table23[[#All],[Discount Level]],0),MATCH(Table29[[#Headers],[≥ 150,000]],Table29[[#Headers],[≥ 1]:[≥ 150,000]],0))),2)</f>
        <v>47.78</v>
      </c>
      <c r="O168" s="16" t="s">
        <v>475</v>
      </c>
    </row>
    <row r="170" spans="1:15" ht="27" customHeight="1" x14ac:dyDescent="0.25">
      <c r="A170" s="299" t="s">
        <v>483</v>
      </c>
      <c r="B170" s="299"/>
      <c r="C170" s="176"/>
    </row>
    <row r="171" spans="1:15" s="11" customFormat="1" ht="27" customHeight="1" x14ac:dyDescent="0.25">
      <c r="A171" s="307" t="s">
        <v>212</v>
      </c>
      <c r="B171" s="300" t="s">
        <v>233</v>
      </c>
      <c r="C171" s="89" t="s">
        <v>208</v>
      </c>
    </row>
    <row r="172" spans="1:15" ht="27" customHeight="1" x14ac:dyDescent="0.25">
      <c r="A172" s="316" t="s">
        <v>479</v>
      </c>
      <c r="B172" s="316" t="s">
        <v>841</v>
      </c>
      <c r="C172" s="63">
        <v>5</v>
      </c>
    </row>
    <row r="173" spans="1:15" ht="27" customHeight="1" x14ac:dyDescent="0.25">
      <c r="A173" s="316" t="s">
        <v>479</v>
      </c>
      <c r="B173" s="316" t="s">
        <v>842</v>
      </c>
      <c r="C173" s="63">
        <v>1</v>
      </c>
    </row>
    <row r="174" spans="1:15" ht="27" customHeight="1" x14ac:dyDescent="0.25">
      <c r="A174" s="316" t="s">
        <v>478</v>
      </c>
      <c r="B174" s="316" t="s">
        <v>843</v>
      </c>
      <c r="C174" s="63">
        <v>25</v>
      </c>
    </row>
    <row r="175" spans="1:15" ht="27" customHeight="1" x14ac:dyDescent="0.25">
      <c r="A175" s="316" t="s">
        <v>480</v>
      </c>
      <c r="B175" s="316" t="s">
        <v>484</v>
      </c>
      <c r="C175" s="63">
        <v>75</v>
      </c>
    </row>
    <row r="176" spans="1:15" ht="27" customHeight="1" x14ac:dyDescent="0.25">
      <c r="A176" s="316" t="s">
        <v>480</v>
      </c>
      <c r="B176" s="316" t="s">
        <v>485</v>
      </c>
      <c r="C176" s="63">
        <v>90</v>
      </c>
    </row>
    <row r="177" spans="1:3" ht="27" customHeight="1" x14ac:dyDescent="0.25">
      <c r="A177" s="316" t="s">
        <v>480</v>
      </c>
      <c r="B177" s="316" t="s">
        <v>486</v>
      </c>
      <c r="C177" s="63">
        <v>110</v>
      </c>
    </row>
    <row r="178" spans="1:3" ht="27" customHeight="1" x14ac:dyDescent="0.25">
      <c r="A178" s="316" t="s">
        <v>480</v>
      </c>
      <c r="B178" s="316" t="s">
        <v>487</v>
      </c>
      <c r="C178" s="63">
        <v>140</v>
      </c>
    </row>
    <row r="179" spans="1:3" ht="27" customHeight="1" x14ac:dyDescent="0.25">
      <c r="A179" s="316" t="s">
        <v>479</v>
      </c>
      <c r="B179" s="316" t="s">
        <v>844</v>
      </c>
      <c r="C179" s="63">
        <v>140</v>
      </c>
    </row>
    <row r="180" spans="1:3" ht="27" customHeight="1" x14ac:dyDescent="0.25">
      <c r="A180" s="316" t="s">
        <v>481</v>
      </c>
      <c r="B180" s="316" t="s">
        <v>845</v>
      </c>
      <c r="C180" s="63">
        <v>80</v>
      </c>
    </row>
    <row r="181" spans="1:3" ht="27" customHeight="1" x14ac:dyDescent="0.25">
      <c r="A181" s="316" t="s">
        <v>481</v>
      </c>
      <c r="B181" s="316" t="s">
        <v>846</v>
      </c>
      <c r="C181" s="63">
        <v>150</v>
      </c>
    </row>
    <row r="182" spans="1:3" ht="27" customHeight="1" x14ac:dyDescent="0.25">
      <c r="A182" s="316" t="s">
        <v>482</v>
      </c>
      <c r="B182" s="316" t="s">
        <v>847</v>
      </c>
      <c r="C182" s="63">
        <v>20</v>
      </c>
    </row>
    <row r="184" spans="1:3" ht="27" customHeight="1" x14ac:dyDescent="0.25">
      <c r="A184" s="299" t="s">
        <v>488</v>
      </c>
      <c r="B184" s="299"/>
      <c r="C184" s="176"/>
    </row>
    <row r="185" spans="1:3" s="11" customFormat="1" ht="27" customHeight="1" x14ac:dyDescent="0.25">
      <c r="A185" s="307" t="s">
        <v>212</v>
      </c>
      <c r="B185" s="300" t="s">
        <v>233</v>
      </c>
      <c r="C185" s="89" t="s">
        <v>208</v>
      </c>
    </row>
    <row r="186" spans="1:3" ht="27" customHeight="1" x14ac:dyDescent="0.25">
      <c r="A186" s="316" t="s">
        <v>258</v>
      </c>
      <c r="B186" s="316" t="s">
        <v>259</v>
      </c>
      <c r="C186" s="63">
        <v>35</v>
      </c>
    </row>
    <row r="187" spans="1:3" ht="27" customHeight="1" x14ac:dyDescent="0.25">
      <c r="A187" s="316" t="s">
        <v>260</v>
      </c>
      <c r="B187" s="316" t="s">
        <v>848</v>
      </c>
      <c r="C187" s="63">
        <v>60</v>
      </c>
    </row>
    <row r="188" spans="1:3" ht="27" customHeight="1" x14ac:dyDescent="0.25">
      <c r="A188" s="316" t="s">
        <v>260</v>
      </c>
      <c r="B188" s="316" t="s">
        <v>850</v>
      </c>
      <c r="C188" s="63">
        <v>20</v>
      </c>
    </row>
    <row r="189" spans="1:3" ht="27" customHeight="1" x14ac:dyDescent="0.25">
      <c r="A189" s="316" t="s">
        <v>261</v>
      </c>
      <c r="B189" s="316" t="s">
        <v>849</v>
      </c>
      <c r="C189" s="63">
        <v>60</v>
      </c>
    </row>
    <row r="190" spans="1:3" ht="27" customHeight="1" x14ac:dyDescent="0.25">
      <c r="A190" s="316" t="s">
        <v>261</v>
      </c>
      <c r="B190" s="316" t="s">
        <v>851</v>
      </c>
      <c r="C190" s="63">
        <v>20</v>
      </c>
    </row>
    <row r="191" spans="1:3" ht="27" customHeight="1" x14ac:dyDescent="0.25">
      <c r="A191" s="316" t="s">
        <v>261</v>
      </c>
      <c r="B191" s="316" t="s">
        <v>852</v>
      </c>
      <c r="C191" s="63">
        <v>100</v>
      </c>
    </row>
    <row r="192" spans="1:3" ht="27" customHeight="1" x14ac:dyDescent="0.25">
      <c r="A192" s="316" t="s">
        <v>262</v>
      </c>
      <c r="B192" s="316" t="s">
        <v>854</v>
      </c>
      <c r="C192" s="63">
        <v>70</v>
      </c>
    </row>
    <row r="193" spans="1:3" ht="27" customHeight="1" x14ac:dyDescent="0.25">
      <c r="A193" s="316" t="s">
        <v>262</v>
      </c>
      <c r="B193" s="316" t="s">
        <v>853</v>
      </c>
      <c r="C193" s="63">
        <v>10</v>
      </c>
    </row>
    <row r="194" spans="1:3" ht="27" customHeight="1" x14ac:dyDescent="0.25">
      <c r="A194" s="316" t="s">
        <v>262</v>
      </c>
      <c r="B194" s="316" t="s">
        <v>855</v>
      </c>
      <c r="C194" s="63">
        <v>90</v>
      </c>
    </row>
    <row r="195" spans="1:3" ht="27" customHeight="1" x14ac:dyDescent="0.25">
      <c r="A195" s="316" t="s">
        <v>262</v>
      </c>
      <c r="B195" s="316" t="s">
        <v>856</v>
      </c>
      <c r="C195" s="63">
        <v>10</v>
      </c>
    </row>
    <row r="196" spans="1:3" ht="27" customHeight="1" x14ac:dyDescent="0.25">
      <c r="A196" s="316" t="s">
        <v>262</v>
      </c>
      <c r="B196" s="316" t="s">
        <v>857</v>
      </c>
      <c r="C196" s="63">
        <v>20</v>
      </c>
    </row>
    <row r="197" spans="1:3" ht="27" customHeight="1" x14ac:dyDescent="0.25">
      <c r="A197" s="316" t="s">
        <v>262</v>
      </c>
      <c r="B197" s="316" t="s">
        <v>858</v>
      </c>
      <c r="C197" s="63">
        <v>210</v>
      </c>
    </row>
    <row r="198" spans="1:3" ht="27" customHeight="1" x14ac:dyDescent="0.25">
      <c r="A198" s="316" t="s">
        <v>262</v>
      </c>
      <c r="B198" s="316" t="s">
        <v>859</v>
      </c>
      <c r="C198" s="63">
        <v>285</v>
      </c>
    </row>
    <row r="199" spans="1:3" ht="27" customHeight="1" x14ac:dyDescent="0.25">
      <c r="A199" s="316" t="s">
        <v>263</v>
      </c>
      <c r="B199" s="316" t="s">
        <v>860</v>
      </c>
      <c r="C199" s="63">
        <v>100</v>
      </c>
    </row>
    <row r="200" spans="1:3" ht="27" customHeight="1" x14ac:dyDescent="0.25">
      <c r="A200" s="316" t="s">
        <v>263</v>
      </c>
      <c r="B200" s="316" t="s">
        <v>861</v>
      </c>
      <c r="C200" s="63">
        <v>20</v>
      </c>
    </row>
    <row r="201" spans="1:3" ht="27" customHeight="1" x14ac:dyDescent="0.25">
      <c r="A201" s="316" t="s">
        <v>264</v>
      </c>
      <c r="B201" s="316" t="s">
        <v>862</v>
      </c>
      <c r="C201" s="63">
        <v>70</v>
      </c>
    </row>
    <row r="202" spans="1:3" ht="27" customHeight="1" x14ac:dyDescent="0.25">
      <c r="A202" s="316" t="s">
        <v>264</v>
      </c>
      <c r="B202" s="316" t="s">
        <v>863</v>
      </c>
      <c r="C202" s="63">
        <v>90</v>
      </c>
    </row>
    <row r="203" spans="1:3" ht="27" customHeight="1" x14ac:dyDescent="0.25">
      <c r="A203" s="316" t="s">
        <v>254</v>
      </c>
      <c r="B203" s="316" t="s">
        <v>265</v>
      </c>
      <c r="C203" s="63">
        <v>80</v>
      </c>
    </row>
    <row r="204" spans="1:3" ht="27" customHeight="1" x14ac:dyDescent="0.25">
      <c r="A204" s="316" t="s">
        <v>254</v>
      </c>
      <c r="B204" s="316" t="s">
        <v>864</v>
      </c>
      <c r="C204" s="63">
        <v>50</v>
      </c>
    </row>
    <row r="205" spans="1:3" ht="27" customHeight="1" x14ac:dyDescent="0.25">
      <c r="A205" s="316" t="s">
        <v>254</v>
      </c>
      <c r="B205" s="316" t="s">
        <v>865</v>
      </c>
      <c r="C205" s="63">
        <v>60</v>
      </c>
    </row>
    <row r="206" spans="1:3" ht="27" customHeight="1" x14ac:dyDescent="0.25">
      <c r="A206" s="316" t="s">
        <v>254</v>
      </c>
      <c r="B206" s="316" t="s">
        <v>866</v>
      </c>
      <c r="C206" s="63">
        <v>70</v>
      </c>
    </row>
    <row r="207" spans="1:3" ht="27" customHeight="1" x14ac:dyDescent="0.25">
      <c r="A207" s="316" t="s">
        <v>254</v>
      </c>
      <c r="B207" s="316" t="s">
        <v>867</v>
      </c>
      <c r="C207" s="63">
        <v>80</v>
      </c>
    </row>
    <row r="208" spans="1:3" ht="27" customHeight="1" x14ac:dyDescent="0.25">
      <c r="A208" s="316" t="s">
        <v>244</v>
      </c>
      <c r="B208" s="316" t="s">
        <v>868</v>
      </c>
      <c r="C208" s="63">
        <v>350</v>
      </c>
    </row>
    <row r="209" spans="1:3" ht="27" customHeight="1" x14ac:dyDescent="0.25">
      <c r="A209" s="316" t="s">
        <v>244</v>
      </c>
      <c r="B209" s="316" t="s">
        <v>869</v>
      </c>
      <c r="C209" s="63">
        <v>460</v>
      </c>
    </row>
    <row r="210" spans="1:3" ht="27" customHeight="1" x14ac:dyDescent="0.25">
      <c r="A210" s="316" t="s">
        <v>266</v>
      </c>
      <c r="B210" s="316" t="s">
        <v>870</v>
      </c>
      <c r="C210" s="63">
        <v>80</v>
      </c>
    </row>
    <row r="211" spans="1:3" ht="27" customHeight="1" x14ac:dyDescent="0.25">
      <c r="A211" s="316" t="s">
        <v>266</v>
      </c>
      <c r="B211" s="316" t="s">
        <v>871</v>
      </c>
      <c r="C211" s="63">
        <v>100</v>
      </c>
    </row>
    <row r="212" spans="1:3" ht="27" customHeight="1" x14ac:dyDescent="0.25">
      <c r="A212" s="316" t="s">
        <v>489</v>
      </c>
      <c r="B212" s="316" t="s">
        <v>872</v>
      </c>
      <c r="C212" s="63">
        <v>40</v>
      </c>
    </row>
    <row r="213" spans="1:3" ht="27" customHeight="1" x14ac:dyDescent="0.25">
      <c r="A213" s="316" t="s">
        <v>489</v>
      </c>
      <c r="B213" s="316" t="s">
        <v>873</v>
      </c>
      <c r="C213" s="63">
        <v>50</v>
      </c>
    </row>
    <row r="214" spans="1:3" ht="27" customHeight="1" x14ac:dyDescent="0.25">
      <c r="A214" s="316" t="s">
        <v>267</v>
      </c>
      <c r="B214" s="316" t="s">
        <v>874</v>
      </c>
      <c r="C214" s="63">
        <v>20</v>
      </c>
    </row>
    <row r="215" spans="1:3" ht="27" customHeight="1" x14ac:dyDescent="0.25">
      <c r="A215" s="316" t="s">
        <v>267</v>
      </c>
      <c r="B215" s="316" t="s">
        <v>875</v>
      </c>
      <c r="C215" s="63">
        <v>90</v>
      </c>
    </row>
    <row r="216" spans="1:3" ht="27" customHeight="1" x14ac:dyDescent="0.25">
      <c r="A216" s="316" t="s">
        <v>267</v>
      </c>
      <c r="B216" s="316" t="s">
        <v>876</v>
      </c>
      <c r="C216" s="63">
        <v>115</v>
      </c>
    </row>
    <row r="217" spans="1:3" ht="27" customHeight="1" x14ac:dyDescent="0.25">
      <c r="A217" s="316" t="s">
        <v>268</v>
      </c>
      <c r="B217" s="316" t="s">
        <v>877</v>
      </c>
      <c r="C217" s="63">
        <v>20</v>
      </c>
    </row>
    <row r="218" spans="1:3" ht="27" customHeight="1" x14ac:dyDescent="0.25">
      <c r="A218" s="316" t="s">
        <v>268</v>
      </c>
      <c r="B218" s="316" t="s">
        <v>878</v>
      </c>
      <c r="C218" s="63">
        <v>30</v>
      </c>
    </row>
    <row r="219" spans="1:3" ht="27" customHeight="1" x14ac:dyDescent="0.25">
      <c r="A219" s="316" t="s">
        <v>268</v>
      </c>
      <c r="B219" s="316" t="s">
        <v>879</v>
      </c>
      <c r="C219" s="63">
        <v>50</v>
      </c>
    </row>
    <row r="220" spans="1:3" ht="27" customHeight="1" x14ac:dyDescent="0.25">
      <c r="A220" s="316" t="s">
        <v>490</v>
      </c>
      <c r="B220" s="316" t="s">
        <v>880</v>
      </c>
      <c r="C220" s="63">
        <v>20</v>
      </c>
    </row>
    <row r="221" spans="1:3" ht="27" customHeight="1" x14ac:dyDescent="0.25">
      <c r="A221" s="316" t="s">
        <v>490</v>
      </c>
      <c r="B221" s="316" t="s">
        <v>881</v>
      </c>
      <c r="C221" s="63">
        <v>80</v>
      </c>
    </row>
    <row r="222" spans="1:3" ht="27" customHeight="1" x14ac:dyDescent="0.25">
      <c r="A222" s="316" t="s">
        <v>490</v>
      </c>
      <c r="B222" s="316" t="s">
        <v>882</v>
      </c>
      <c r="C222" s="63">
        <v>90</v>
      </c>
    </row>
    <row r="223" spans="1:3" ht="27" customHeight="1" x14ac:dyDescent="0.25">
      <c r="A223" s="316" t="s">
        <v>269</v>
      </c>
      <c r="B223" s="316" t="s">
        <v>883</v>
      </c>
      <c r="C223" s="63">
        <v>40</v>
      </c>
    </row>
    <row r="224" spans="1:3" ht="27" customHeight="1" x14ac:dyDescent="0.25">
      <c r="A224" s="316" t="s">
        <v>269</v>
      </c>
      <c r="B224" s="316" t="s">
        <v>884</v>
      </c>
      <c r="C224" s="63">
        <v>130</v>
      </c>
    </row>
    <row r="225" spans="1:9" ht="27" customHeight="1" x14ac:dyDescent="0.25">
      <c r="A225" s="316" t="s">
        <v>269</v>
      </c>
      <c r="B225" s="316" t="s">
        <v>885</v>
      </c>
      <c r="C225" s="63">
        <v>140</v>
      </c>
    </row>
    <row r="226" spans="1:9" ht="27" customHeight="1" x14ac:dyDescent="0.25">
      <c r="A226" s="316" t="s">
        <v>270</v>
      </c>
      <c r="B226" s="316" t="s">
        <v>886</v>
      </c>
      <c r="C226" s="63">
        <v>40</v>
      </c>
    </row>
    <row r="227" spans="1:9" ht="27" customHeight="1" x14ac:dyDescent="0.25">
      <c r="A227" s="316" t="s">
        <v>270</v>
      </c>
      <c r="B227" s="316" t="s">
        <v>887</v>
      </c>
      <c r="C227" s="63">
        <v>330</v>
      </c>
    </row>
    <row r="228" spans="1:9" ht="27" customHeight="1" x14ac:dyDescent="0.25">
      <c r="A228" s="316" t="s">
        <v>489</v>
      </c>
      <c r="B228" s="316" t="s">
        <v>888</v>
      </c>
      <c r="C228" s="63">
        <v>40</v>
      </c>
    </row>
    <row r="229" spans="1:9" ht="27" customHeight="1" x14ac:dyDescent="0.25">
      <c r="A229" s="316" t="s">
        <v>489</v>
      </c>
      <c r="B229" s="316" t="s">
        <v>889</v>
      </c>
      <c r="C229" s="63">
        <v>150</v>
      </c>
    </row>
    <row r="231" spans="1:9" ht="27" customHeight="1" x14ac:dyDescent="0.25">
      <c r="A231" s="299" t="s">
        <v>731</v>
      </c>
      <c r="B231" s="299"/>
      <c r="C231" s="176"/>
    </row>
    <row r="233" spans="1:9" ht="27" customHeight="1" x14ac:dyDescent="0.25">
      <c r="B233" s="316" t="s">
        <v>233</v>
      </c>
      <c r="C233" s="316" t="s">
        <v>208</v>
      </c>
      <c r="D233" s="338"/>
    </row>
    <row r="234" spans="1:9" ht="27" customHeight="1" x14ac:dyDescent="0.25">
      <c r="B234" s="361" t="s">
        <v>271</v>
      </c>
      <c r="C234" s="318" t="s">
        <v>918</v>
      </c>
      <c r="D234" s="56"/>
      <c r="E234" s="56"/>
      <c r="F234" s="56"/>
      <c r="G234" s="56"/>
      <c r="H234" s="56"/>
      <c r="I234" s="56"/>
    </row>
    <row r="235" spans="1:9" ht="27" customHeight="1" x14ac:dyDescent="0.25">
      <c r="B235" s="344" t="s">
        <v>273</v>
      </c>
      <c r="C235" s="317" t="s">
        <v>917</v>
      </c>
      <c r="D235" s="20"/>
      <c r="E235" s="56"/>
      <c r="F235" s="56"/>
      <c r="G235" s="56"/>
      <c r="H235" s="56"/>
      <c r="I235" s="56"/>
    </row>
    <row r="236" spans="1:9" ht="27" customHeight="1" x14ac:dyDescent="0.25">
      <c r="B236" s="344" t="s">
        <v>275</v>
      </c>
      <c r="C236" s="312">
        <v>50</v>
      </c>
      <c r="D236" s="56"/>
      <c r="E236" s="56"/>
      <c r="F236" s="56"/>
      <c r="G236" s="19"/>
      <c r="H236" s="19"/>
      <c r="I236" s="19"/>
    </row>
    <row r="237" spans="1:9" ht="27" customHeight="1" x14ac:dyDescent="0.25">
      <c r="B237" s="344" t="s">
        <v>277</v>
      </c>
      <c r="C237" s="312">
        <v>15</v>
      </c>
      <c r="D237" s="56"/>
      <c r="E237" s="56"/>
      <c r="F237" s="56"/>
      <c r="G237" s="19"/>
      <c r="H237" s="19"/>
      <c r="I237" s="19"/>
    </row>
    <row r="238" spans="1:9" ht="27" customHeight="1" x14ac:dyDescent="0.25">
      <c r="B238" s="344" t="s">
        <v>279</v>
      </c>
      <c r="C238" s="312">
        <v>50</v>
      </c>
      <c r="D238" s="56"/>
      <c r="E238" s="56"/>
      <c r="F238" s="56"/>
      <c r="G238" s="19"/>
      <c r="H238" s="19"/>
      <c r="I238" s="19"/>
    </row>
    <row r="239" spans="1:9" ht="27" customHeight="1" x14ac:dyDescent="0.25">
      <c r="B239" s="344"/>
      <c r="C239" s="312"/>
      <c r="D239" s="56"/>
      <c r="E239" s="56"/>
      <c r="F239" s="56"/>
      <c r="G239" s="19"/>
      <c r="H239" s="19"/>
      <c r="I239" s="19"/>
    </row>
    <row r="240" spans="1:9" ht="27" customHeight="1" x14ac:dyDescent="0.25">
      <c r="B240" s="362" t="s">
        <v>281</v>
      </c>
      <c r="C240" s="344" t="s">
        <v>208</v>
      </c>
      <c r="D240" s="56"/>
      <c r="E240" s="56"/>
      <c r="F240" s="56"/>
      <c r="G240" s="19"/>
      <c r="H240" s="19"/>
      <c r="I240" s="19"/>
    </row>
    <row r="241" spans="1:11" ht="27" customHeight="1" x14ac:dyDescent="0.25">
      <c r="B241" s="345" t="s">
        <v>283</v>
      </c>
      <c r="C241" s="312">
        <v>75</v>
      </c>
      <c r="D241" s="56"/>
      <c r="E241" s="56"/>
      <c r="F241" s="56"/>
      <c r="G241" s="19"/>
      <c r="H241" s="19"/>
      <c r="I241" s="19"/>
    </row>
    <row r="242" spans="1:11" ht="27" customHeight="1" x14ac:dyDescent="0.25">
      <c r="B242" s="345" t="s">
        <v>285</v>
      </c>
      <c r="C242" s="312">
        <v>50</v>
      </c>
      <c r="D242" s="56"/>
      <c r="E242" s="56"/>
      <c r="F242" s="56"/>
      <c r="G242" s="19"/>
      <c r="H242" s="19"/>
      <c r="I242" s="19"/>
    </row>
    <row r="243" spans="1:11" ht="27" customHeight="1" x14ac:dyDescent="0.25">
      <c r="B243" s="345" t="s">
        <v>287</v>
      </c>
      <c r="C243" s="312">
        <v>50</v>
      </c>
      <c r="D243" s="56"/>
      <c r="E243" s="56"/>
      <c r="F243" s="56"/>
      <c r="G243" s="19"/>
      <c r="H243" s="19"/>
      <c r="I243" s="19"/>
    </row>
    <row r="244" spans="1:11" ht="27" customHeight="1" x14ac:dyDescent="0.25">
      <c r="B244" s="363"/>
      <c r="C244" s="364"/>
      <c r="D244" s="365"/>
      <c r="E244" s="10"/>
      <c r="F244" s="366"/>
      <c r="G244" s="367"/>
      <c r="H244" s="367"/>
      <c r="I244" s="367"/>
    </row>
    <row r="245" spans="1:11" ht="27" customHeight="1" x14ac:dyDescent="0.25">
      <c r="B245" s="368" t="s">
        <v>290</v>
      </c>
      <c r="C245" s="369" t="s">
        <v>211</v>
      </c>
      <c r="D245" s="368" t="s">
        <v>291</v>
      </c>
      <c r="E245" s="56"/>
      <c r="F245" s="365"/>
      <c r="G245" s="365"/>
      <c r="H245" s="365"/>
      <c r="I245" s="365"/>
    </row>
    <row r="246" spans="1:11" ht="27" customHeight="1" x14ac:dyDescent="0.25">
      <c r="B246" s="370" t="s">
        <v>292</v>
      </c>
      <c r="C246" s="312">
        <v>239</v>
      </c>
      <c r="D246" s="297">
        <v>275</v>
      </c>
      <c r="E246" s="297"/>
      <c r="F246" s="371"/>
      <c r="G246" s="371"/>
      <c r="H246" s="371"/>
      <c r="I246" s="371"/>
    </row>
    <row r="247" spans="1:11" ht="27" customHeight="1" x14ac:dyDescent="0.25">
      <c r="B247" s="345" t="s">
        <v>294</v>
      </c>
      <c r="C247" s="312">
        <v>174</v>
      </c>
      <c r="D247" s="297">
        <v>225</v>
      </c>
      <c r="E247" s="297"/>
      <c r="F247" s="371"/>
      <c r="G247" s="371"/>
      <c r="H247" s="371"/>
      <c r="I247" s="371"/>
    </row>
    <row r="248" spans="1:11" ht="27" customHeight="1" x14ac:dyDescent="0.25">
      <c r="B248" s="370" t="s">
        <v>296</v>
      </c>
      <c r="C248" s="312">
        <v>471</v>
      </c>
      <c r="D248" s="297">
        <v>500</v>
      </c>
      <c r="E248" s="297"/>
      <c r="F248" s="371"/>
      <c r="G248" s="371"/>
      <c r="H248" s="371"/>
      <c r="I248" s="371"/>
    </row>
    <row r="249" spans="1:11" ht="27" customHeight="1" x14ac:dyDescent="0.25">
      <c r="B249" s="345" t="s">
        <v>298</v>
      </c>
      <c r="C249" s="312">
        <v>423</v>
      </c>
      <c r="D249" s="297">
        <v>500</v>
      </c>
      <c r="E249" s="297"/>
      <c r="F249" s="371"/>
      <c r="G249" s="371"/>
      <c r="H249" s="371"/>
      <c r="I249" s="371"/>
    </row>
    <row r="250" spans="1:11" ht="27" customHeight="1" x14ac:dyDescent="0.25">
      <c r="A250" s="372"/>
      <c r="B250" s="373"/>
      <c r="C250" s="346"/>
      <c r="D250" s="347"/>
      <c r="E250" s="347"/>
      <c r="F250" s="346"/>
      <c r="G250" s="346"/>
      <c r="H250" s="346"/>
      <c r="I250" s="346"/>
      <c r="J250" s="348"/>
    </row>
    <row r="251" spans="1:11" ht="27" customHeight="1" x14ac:dyDescent="0.25">
      <c r="A251" s="176" t="s">
        <v>738</v>
      </c>
      <c r="B251" s="374"/>
      <c r="C251" s="375"/>
      <c r="D251" s="321"/>
      <c r="E251" s="321"/>
      <c r="F251" s="321"/>
      <c r="G251" s="349"/>
      <c r="H251" s="349"/>
      <c r="I251" s="349"/>
      <c r="J251" s="350"/>
      <c r="K251" s="350"/>
    </row>
    <row r="252" spans="1:11" ht="27" customHeight="1" x14ac:dyDescent="0.25">
      <c r="A252" s="307" t="s">
        <v>212</v>
      </c>
      <c r="B252" s="376" t="s">
        <v>311</v>
      </c>
      <c r="C252" s="377" t="s">
        <v>733</v>
      </c>
      <c r="D252" s="378" t="s">
        <v>734</v>
      </c>
      <c r="E252" s="378" t="s">
        <v>735</v>
      </c>
      <c r="F252" s="378" t="s">
        <v>736</v>
      </c>
      <c r="G252" s="349"/>
      <c r="H252" s="349"/>
      <c r="I252" s="349"/>
      <c r="J252" s="350"/>
      <c r="K252" s="350"/>
    </row>
    <row r="253" spans="1:11" ht="27" customHeight="1" x14ac:dyDescent="0.25">
      <c r="A253" s="16" t="s">
        <v>737</v>
      </c>
      <c r="B253" s="379" t="s">
        <v>314</v>
      </c>
      <c r="C253" s="319">
        <v>75</v>
      </c>
      <c r="D253" s="320">
        <v>100</v>
      </c>
      <c r="E253" s="320">
        <v>125</v>
      </c>
      <c r="F253" s="320">
        <v>150</v>
      </c>
      <c r="G253" s="349"/>
      <c r="H253" s="349"/>
      <c r="I253" s="349"/>
      <c r="J253" s="350"/>
      <c r="K253" s="350"/>
    </row>
    <row r="254" spans="1:11" ht="27" customHeight="1" x14ac:dyDescent="0.25">
      <c r="A254" s="16"/>
      <c r="B254" s="380"/>
      <c r="C254" s="351"/>
      <c r="D254" s="352"/>
      <c r="E254" s="352"/>
      <c r="F254" s="353"/>
      <c r="G254" s="354"/>
      <c r="H254" s="354"/>
      <c r="I254" s="354"/>
      <c r="J254" s="350"/>
      <c r="K254" s="350"/>
    </row>
    <row r="255" spans="1:11" ht="27" customHeight="1" x14ac:dyDescent="0.25">
      <c r="A255" s="16"/>
      <c r="B255" s="381"/>
      <c r="C255" s="355"/>
      <c r="D255" s="356"/>
      <c r="E255" s="357"/>
      <c r="F255" s="358"/>
      <c r="G255" s="358"/>
      <c r="H255" s="358"/>
      <c r="I255" s="358"/>
      <c r="J255" s="350"/>
      <c r="K255" s="350"/>
    </row>
    <row r="256" spans="1:11" ht="27" customHeight="1" x14ac:dyDescent="0.25">
      <c r="A256" s="386"/>
      <c r="B256" s="322" t="s">
        <v>318</v>
      </c>
      <c r="C256" s="424" t="s">
        <v>319</v>
      </c>
      <c r="D256" s="425"/>
      <c r="E256" s="426"/>
      <c r="F256" s="424" t="s">
        <v>320</v>
      </c>
      <c r="G256" s="425"/>
      <c r="H256" s="426"/>
      <c r="I256" s="424" t="s">
        <v>321</v>
      </c>
      <c r="J256" s="425"/>
      <c r="K256" s="426"/>
    </row>
    <row r="257" spans="1:11" ht="27" customHeight="1" x14ac:dyDescent="0.25">
      <c r="A257" s="335" t="s">
        <v>212</v>
      </c>
      <c r="B257" s="323" t="s">
        <v>322</v>
      </c>
      <c r="C257" s="324" t="s">
        <v>733</v>
      </c>
      <c r="D257" s="325" t="s">
        <v>734</v>
      </c>
      <c r="E257" s="325" t="s">
        <v>735</v>
      </c>
      <c r="F257" s="325">
        <v>1</v>
      </c>
      <c r="G257" s="325">
        <v>2</v>
      </c>
      <c r="H257" s="325">
        <v>3</v>
      </c>
      <c r="I257" s="325">
        <v>1</v>
      </c>
      <c r="J257" s="325">
        <v>2</v>
      </c>
      <c r="K257" s="326">
        <v>3</v>
      </c>
    </row>
    <row r="258" spans="1:11" ht="27" customHeight="1" x14ac:dyDescent="0.25">
      <c r="A258" s="72"/>
      <c r="B258" s="327" t="s">
        <v>323</v>
      </c>
      <c r="C258" s="328">
        <v>72.8</v>
      </c>
      <c r="D258" s="329">
        <v>145.6</v>
      </c>
      <c r="E258" s="329">
        <v>218.39999999999998</v>
      </c>
      <c r="F258" s="329">
        <v>159.12</v>
      </c>
      <c r="G258" s="329">
        <v>318.24</v>
      </c>
      <c r="H258" s="329">
        <v>477.36</v>
      </c>
      <c r="I258" s="329">
        <v>51.52</v>
      </c>
      <c r="J258" s="329">
        <v>103.04</v>
      </c>
      <c r="K258" s="330">
        <v>154.56</v>
      </c>
    </row>
    <row r="259" spans="1:11" ht="27" customHeight="1" x14ac:dyDescent="0.25">
      <c r="A259" s="336" t="s">
        <v>742</v>
      </c>
      <c r="B259" s="331" t="s">
        <v>739</v>
      </c>
      <c r="C259" s="332">
        <v>100</v>
      </c>
      <c r="D259" s="333">
        <v>180</v>
      </c>
      <c r="E259" s="333">
        <v>260</v>
      </c>
      <c r="F259" s="333">
        <v>200</v>
      </c>
      <c r="G259" s="333">
        <v>380</v>
      </c>
      <c r="H259" s="333">
        <v>560</v>
      </c>
      <c r="I259" s="333">
        <v>60</v>
      </c>
      <c r="J259" s="333">
        <v>120</v>
      </c>
      <c r="K259" s="334">
        <v>180</v>
      </c>
    </row>
    <row r="260" spans="1:11" ht="27" customHeight="1" x14ac:dyDescent="0.25">
      <c r="A260" s="382"/>
      <c r="B260" s="383"/>
      <c r="C260" s="359"/>
      <c r="D260" s="357"/>
      <c r="E260" s="358"/>
      <c r="F260" s="358"/>
      <c r="G260" s="358"/>
      <c r="H260" s="358"/>
      <c r="I260" s="348"/>
      <c r="J260" s="348"/>
    </row>
    <row r="261" spans="1:11" ht="27" customHeight="1" x14ac:dyDescent="0.25">
      <c r="A261" s="360"/>
      <c r="B261" s="360"/>
      <c r="C261" s="346"/>
      <c r="D261" s="346"/>
      <c r="E261" s="346"/>
      <c r="F261" s="346"/>
      <c r="G261" s="346"/>
      <c r="H261" s="346"/>
      <c r="I261" s="346"/>
      <c r="J261" s="348"/>
    </row>
    <row r="262" spans="1:11" ht="27" customHeight="1" x14ac:dyDescent="0.25">
      <c r="A262" s="176" t="s">
        <v>740</v>
      </c>
      <c r="B262" s="176"/>
      <c r="C262" s="176"/>
      <c r="D262" s="176"/>
      <c r="E262" s="176"/>
      <c r="F262" s="176"/>
      <c r="G262" s="346"/>
      <c r="H262" s="346"/>
      <c r="I262" s="346"/>
      <c r="J262" s="348"/>
    </row>
    <row r="263" spans="1:11" ht="27" customHeight="1" x14ac:dyDescent="0.25">
      <c r="A263" s="384" t="s">
        <v>741</v>
      </c>
      <c r="B263" s="373"/>
      <c r="C263" s="346"/>
      <c r="D263" s="346"/>
      <c r="E263" s="346"/>
      <c r="F263" s="346"/>
      <c r="G263" s="346"/>
      <c r="H263" s="346"/>
      <c r="I263" s="346"/>
      <c r="J263" s="348"/>
    </row>
  </sheetData>
  <mergeCells count="3">
    <mergeCell ref="C256:E256"/>
    <mergeCell ref="F256:H256"/>
    <mergeCell ref="I256:K256"/>
  </mergeCells>
  <dataValidations count="2">
    <dataValidation type="list" allowBlank="1" showInputMessage="1" showErrorMessage="1" sqref="F1">
      <formula1>$F$3:$F$12</formula1>
    </dataValidation>
    <dataValidation type="list" allowBlank="1" showInputMessage="1" showErrorMessage="1" sqref="B1">
      <formula1>$P$1:$P$12</formula1>
    </dataValidation>
  </dataValidations>
  <pageMargins left="0.7" right="0.7" top="0.75" bottom="0.75" header="0.3" footer="0.3"/>
  <pageSetup scale="43" fitToHeight="0" orientation="landscape" r:id="rId1"/>
  <ignoredErrors>
    <ignoredError sqref="E55" formula="1"/>
  </ignoredErrors>
  <webPublishItems count="1">
    <webPublishItem id="4144" divId="pricing-180713_4144" sourceType="sheet" destinationFile="C:\Users\Teresag\Desktop\pricing-180713.htm"/>
  </webPublishItems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A1048542"/>
  <sheetViews>
    <sheetView zoomScale="70" zoomScaleNormal="70" workbookViewId="0">
      <selection activeCell="H14" sqref="H14"/>
    </sheetView>
  </sheetViews>
  <sheetFormatPr defaultRowHeight="15" x14ac:dyDescent="0.2"/>
  <cols>
    <col min="1" max="1" width="95.140625" style="151" customWidth="1"/>
    <col min="2" max="2" width="19.5703125" style="148" bestFit="1" customWidth="1"/>
    <col min="3" max="3" width="28.85546875" style="148" bestFit="1" customWidth="1"/>
    <col min="4" max="4" width="25.28515625" style="148" bestFit="1" customWidth="1"/>
    <col min="5" max="5" width="22.28515625" style="148" customWidth="1"/>
    <col min="6" max="6" width="44.5703125" style="148" bestFit="1" customWidth="1"/>
    <col min="7" max="7" width="39.7109375" style="148" customWidth="1"/>
    <col min="8" max="8" width="48.140625" style="148" customWidth="1"/>
    <col min="9" max="10" width="7.85546875" style="148" customWidth="1"/>
    <col min="11" max="11" width="86.28515625" style="148" customWidth="1"/>
    <col min="12" max="12" width="27" style="148" customWidth="1"/>
    <col min="13" max="13" width="39.85546875" style="148" customWidth="1"/>
    <col min="14" max="14" width="36.5703125" style="148" customWidth="1"/>
    <col min="15" max="15" width="32.28515625" style="148" customWidth="1"/>
    <col min="16" max="16" width="66.5703125" style="148" customWidth="1"/>
    <col min="17" max="17" width="22.28515625" style="148" customWidth="1"/>
    <col min="18" max="18" width="57.7109375" style="148" customWidth="1"/>
    <col min="19" max="19" width="54.42578125" style="148" customWidth="1"/>
    <col min="20" max="23" width="16.140625" style="148" customWidth="1"/>
    <col min="24" max="24" width="61.28515625" style="148" customWidth="1"/>
    <col min="25" max="27" width="16.140625" style="148" customWidth="1"/>
    <col min="28" max="16384" width="9.140625" style="151"/>
  </cols>
  <sheetData>
    <row r="1" spans="1:27" ht="15.75" x14ac:dyDescent="0.25">
      <c r="A1" s="146" t="s">
        <v>324</v>
      </c>
      <c r="B1" s="147" t="s">
        <v>325</v>
      </c>
      <c r="D1" s="149"/>
      <c r="E1" s="149"/>
      <c r="F1" s="149"/>
      <c r="G1" s="149"/>
      <c r="H1" s="149"/>
      <c r="L1" s="150"/>
    </row>
    <row r="2" spans="1:27" ht="15.75" x14ac:dyDescent="0.25">
      <c r="A2" s="152" t="s">
        <v>326</v>
      </c>
      <c r="B2" s="153">
        <v>695</v>
      </c>
      <c r="L2" s="150"/>
    </row>
    <row r="3" spans="1:27" ht="15.75" x14ac:dyDescent="0.25">
      <c r="A3" s="152" t="s">
        <v>327</v>
      </c>
      <c r="B3" s="153">
        <v>295</v>
      </c>
      <c r="L3" s="150"/>
    </row>
    <row r="4" spans="1:27" ht="15.75" x14ac:dyDescent="0.25">
      <c r="A4" s="152" t="s">
        <v>328</v>
      </c>
      <c r="B4" s="154">
        <v>0.75</v>
      </c>
      <c r="L4" s="150"/>
    </row>
    <row r="5" spans="1:27" ht="15.75" x14ac:dyDescent="0.25">
      <c r="A5" s="152" t="s">
        <v>329</v>
      </c>
      <c r="B5" s="154"/>
      <c r="L5" s="150"/>
    </row>
    <row r="6" spans="1:27" ht="30.75" x14ac:dyDescent="0.25">
      <c r="A6" s="152" t="s">
        <v>330</v>
      </c>
      <c r="B6" s="153">
        <v>1900</v>
      </c>
      <c r="L6" s="150"/>
    </row>
    <row r="7" spans="1:27" ht="15.75" x14ac:dyDescent="0.25">
      <c r="A7" s="152" t="s">
        <v>331</v>
      </c>
      <c r="B7" s="154">
        <v>0.75</v>
      </c>
      <c r="L7" s="150"/>
    </row>
    <row r="8" spans="1:27" x14ac:dyDescent="0.2">
      <c r="A8" s="152" t="s">
        <v>332</v>
      </c>
      <c r="B8" s="153"/>
    </row>
    <row r="9" spans="1:27" ht="30" x14ac:dyDescent="0.2">
      <c r="A9" s="155" t="s">
        <v>333</v>
      </c>
      <c r="B9" s="153" t="s">
        <v>334</v>
      </c>
    </row>
    <row r="10" spans="1:27" x14ac:dyDescent="0.2">
      <c r="A10" s="155" t="s">
        <v>335</v>
      </c>
      <c r="B10" s="153" t="s">
        <v>334</v>
      </c>
    </row>
    <row r="11" spans="1:27" x14ac:dyDescent="0.2">
      <c r="A11" s="148"/>
    </row>
    <row r="12" spans="1:27" x14ac:dyDescent="0.2">
      <c r="A12" s="148"/>
    </row>
    <row r="13" spans="1:27" x14ac:dyDescent="0.2">
      <c r="A13" s="148"/>
    </row>
    <row r="14" spans="1:27" s="159" customFormat="1" ht="16.5" thickBot="1" x14ac:dyDescent="0.3">
      <c r="A14" s="240" t="s">
        <v>336</v>
      </c>
      <c r="B14" s="241" t="s">
        <v>337</v>
      </c>
      <c r="C14" s="241" t="s">
        <v>338</v>
      </c>
      <c r="D14" s="241" t="s">
        <v>339</v>
      </c>
      <c r="E14" s="241" t="s">
        <v>216</v>
      </c>
      <c r="F14" s="241" t="s">
        <v>340</v>
      </c>
      <c r="G14" s="241" t="s">
        <v>341</v>
      </c>
      <c r="H14" s="156"/>
      <c r="I14" s="156"/>
      <c r="J14" s="156"/>
      <c r="K14" s="160" t="s">
        <v>342</v>
      </c>
      <c r="L14" s="161" t="s">
        <v>337</v>
      </c>
      <c r="M14" s="161" t="s">
        <v>338</v>
      </c>
      <c r="N14" s="161" t="s">
        <v>339</v>
      </c>
      <c r="O14" s="156"/>
      <c r="P14" s="160" t="s">
        <v>343</v>
      </c>
      <c r="Q14" s="161" t="s">
        <v>216</v>
      </c>
      <c r="R14" s="161" t="s">
        <v>340</v>
      </c>
      <c r="S14" s="156"/>
      <c r="T14" s="156"/>
      <c r="U14" s="156"/>
      <c r="V14" s="156"/>
    </row>
    <row r="15" spans="1:27" ht="16.5" thickTop="1" x14ac:dyDescent="0.25">
      <c r="A15" s="242" t="s">
        <v>345</v>
      </c>
      <c r="B15" s="243">
        <v>45</v>
      </c>
      <c r="C15" s="243">
        <v>45</v>
      </c>
      <c r="D15" s="243">
        <v>45</v>
      </c>
      <c r="E15" s="243">
        <v>45</v>
      </c>
      <c r="F15" s="243">
        <v>45</v>
      </c>
      <c r="G15" s="243">
        <v>45</v>
      </c>
      <c r="H15" s="157"/>
      <c r="K15" s="164" t="s">
        <v>344</v>
      </c>
      <c r="L15" s="165">
        <v>35</v>
      </c>
      <c r="M15" s="166"/>
      <c r="N15" s="166"/>
      <c r="P15" s="164" t="s">
        <v>345</v>
      </c>
      <c r="Q15" s="165">
        <v>45</v>
      </c>
      <c r="R15" s="165">
        <v>45</v>
      </c>
      <c r="W15" s="151"/>
      <c r="X15" s="151"/>
      <c r="Y15" s="151"/>
      <c r="Z15" s="151"/>
      <c r="AA15" s="151"/>
    </row>
    <row r="16" spans="1:27" ht="15.75" x14ac:dyDescent="0.25">
      <c r="A16" s="244" t="s">
        <v>346</v>
      </c>
      <c r="B16" s="245">
        <v>125</v>
      </c>
      <c r="C16" s="245">
        <v>208</v>
      </c>
      <c r="D16" s="245"/>
      <c r="E16" s="245"/>
      <c r="F16" s="245"/>
      <c r="G16" s="245"/>
      <c r="K16" s="167" t="s">
        <v>345</v>
      </c>
      <c r="L16" s="168">
        <v>27</v>
      </c>
      <c r="M16" s="168">
        <v>27</v>
      </c>
      <c r="N16" s="168">
        <v>27</v>
      </c>
      <c r="P16" s="167" t="s">
        <v>346</v>
      </c>
      <c r="Q16" s="168">
        <v>0</v>
      </c>
      <c r="R16" s="168">
        <v>0</v>
      </c>
      <c r="W16" s="151"/>
      <c r="X16" s="151"/>
      <c r="Y16" s="151"/>
      <c r="Z16" s="151"/>
      <c r="AA16" s="151"/>
    </row>
    <row r="17" spans="1:27" ht="30.75" x14ac:dyDescent="0.25">
      <c r="A17" s="244" t="s">
        <v>543</v>
      </c>
      <c r="B17" s="245">
        <v>125</v>
      </c>
      <c r="C17" s="245"/>
      <c r="D17" s="245"/>
      <c r="E17" s="245">
        <v>129</v>
      </c>
      <c r="F17" s="245"/>
      <c r="G17" s="245"/>
      <c r="K17" s="169" t="s">
        <v>346</v>
      </c>
      <c r="L17" s="170" t="s">
        <v>542</v>
      </c>
      <c r="M17" s="170">
        <v>125</v>
      </c>
      <c r="N17" s="170" t="s">
        <v>542</v>
      </c>
      <c r="P17" s="169" t="s">
        <v>543</v>
      </c>
      <c r="Q17" s="170">
        <v>129</v>
      </c>
      <c r="R17" s="170">
        <v>0</v>
      </c>
      <c r="W17" s="151"/>
      <c r="X17" s="151"/>
      <c r="Y17" s="151"/>
      <c r="Z17" s="151"/>
      <c r="AA17" s="151"/>
    </row>
    <row r="18" spans="1:27" ht="15.75" x14ac:dyDescent="0.25">
      <c r="A18" s="244" t="s">
        <v>544</v>
      </c>
      <c r="B18" s="245">
        <v>125</v>
      </c>
      <c r="C18" s="245"/>
      <c r="D18" s="245"/>
      <c r="E18" s="245">
        <v>195</v>
      </c>
      <c r="F18" s="245"/>
      <c r="G18" s="245"/>
      <c r="K18" s="167" t="s">
        <v>347</v>
      </c>
      <c r="L18" s="168">
        <v>75</v>
      </c>
      <c r="M18" s="168" t="s">
        <v>542</v>
      </c>
      <c r="N18" s="168" t="s">
        <v>542</v>
      </c>
      <c r="P18" s="167" t="s">
        <v>544</v>
      </c>
      <c r="Q18" s="168">
        <v>195</v>
      </c>
      <c r="R18" s="168">
        <v>0</v>
      </c>
      <c r="W18" s="151"/>
      <c r="X18" s="151"/>
      <c r="Y18" s="151"/>
      <c r="Z18" s="151"/>
      <c r="AA18" s="151"/>
    </row>
    <row r="19" spans="1:27" ht="30.75" x14ac:dyDescent="0.25">
      <c r="A19" s="244" t="s">
        <v>350</v>
      </c>
      <c r="B19" s="245">
        <v>495</v>
      </c>
      <c r="C19" s="245">
        <v>395</v>
      </c>
      <c r="D19" s="245">
        <v>149</v>
      </c>
      <c r="E19" s="245">
        <v>395</v>
      </c>
      <c r="F19" s="245"/>
      <c r="G19" s="245"/>
      <c r="K19" s="169" t="s">
        <v>348</v>
      </c>
      <c r="L19" s="170">
        <v>75</v>
      </c>
      <c r="M19" s="170" t="s">
        <v>542</v>
      </c>
      <c r="N19" s="170" t="s">
        <v>542</v>
      </c>
      <c r="P19" s="169" t="s">
        <v>349</v>
      </c>
      <c r="Q19" s="170">
        <v>149</v>
      </c>
      <c r="R19" s="170">
        <v>0</v>
      </c>
      <c r="W19" s="151"/>
      <c r="X19" s="151"/>
      <c r="Y19" s="151"/>
      <c r="Z19" s="151"/>
      <c r="AA19" s="151"/>
    </row>
    <row r="20" spans="1:27" ht="15.75" x14ac:dyDescent="0.25">
      <c r="A20" s="244" t="s">
        <v>349</v>
      </c>
      <c r="B20" s="245">
        <v>149</v>
      </c>
      <c r="C20" s="245">
        <v>115</v>
      </c>
      <c r="D20" s="245">
        <v>50</v>
      </c>
      <c r="E20" s="245">
        <v>149</v>
      </c>
      <c r="F20" s="246" t="s">
        <v>395</v>
      </c>
      <c r="G20" s="245"/>
      <c r="K20" s="167" t="s">
        <v>349</v>
      </c>
      <c r="L20" s="172">
        <v>89</v>
      </c>
      <c r="M20" s="172">
        <v>69</v>
      </c>
      <c r="N20" s="172">
        <v>30</v>
      </c>
      <c r="P20" s="167" t="s">
        <v>350</v>
      </c>
      <c r="Q20" s="168">
        <v>395</v>
      </c>
      <c r="R20" s="168">
        <v>0</v>
      </c>
      <c r="W20" s="151"/>
      <c r="X20" s="151"/>
      <c r="Y20" s="151"/>
      <c r="Z20" s="151"/>
      <c r="AA20" s="151"/>
    </row>
    <row r="21" spans="1:27" ht="15.75" x14ac:dyDescent="0.25">
      <c r="A21" s="244" t="s">
        <v>545</v>
      </c>
      <c r="B21" s="245">
        <v>695</v>
      </c>
      <c r="C21" s="245">
        <v>495</v>
      </c>
      <c r="D21" s="245">
        <v>295</v>
      </c>
      <c r="E21" s="245">
        <v>495</v>
      </c>
      <c r="F21" s="246" t="s">
        <v>395</v>
      </c>
      <c r="G21" s="245"/>
      <c r="K21" s="169" t="s">
        <v>350</v>
      </c>
      <c r="L21" s="173">
        <v>297</v>
      </c>
      <c r="M21" s="173">
        <v>237</v>
      </c>
      <c r="N21" s="173">
        <v>89</v>
      </c>
      <c r="P21" s="169" t="s">
        <v>351</v>
      </c>
      <c r="Q21" s="170">
        <v>495</v>
      </c>
      <c r="R21" s="170">
        <v>0</v>
      </c>
      <c r="W21" s="151"/>
      <c r="X21" s="151"/>
      <c r="Y21" s="151"/>
      <c r="Z21" s="151"/>
      <c r="AA21" s="151"/>
    </row>
    <row r="22" spans="1:27" ht="15.75" x14ac:dyDescent="0.25">
      <c r="A22" s="244" t="s">
        <v>547</v>
      </c>
      <c r="B22" s="245">
        <v>1195</v>
      </c>
      <c r="C22" s="245">
        <v>795</v>
      </c>
      <c r="D22" s="245">
        <v>449</v>
      </c>
      <c r="E22" s="245">
        <v>885</v>
      </c>
      <c r="F22" s="246" t="s">
        <v>395</v>
      </c>
      <c r="G22" s="245"/>
      <c r="K22" s="167" t="s">
        <v>546</v>
      </c>
      <c r="L22" s="168">
        <v>417</v>
      </c>
      <c r="M22" s="168">
        <v>297</v>
      </c>
      <c r="N22" s="168">
        <v>177</v>
      </c>
      <c r="P22" s="167" t="s">
        <v>352</v>
      </c>
      <c r="Q22" s="168">
        <v>790</v>
      </c>
      <c r="R22" s="168">
        <v>0</v>
      </c>
      <c r="W22" s="151"/>
      <c r="X22" s="151"/>
      <c r="Y22" s="151"/>
      <c r="Z22" s="151"/>
      <c r="AA22" s="151"/>
    </row>
    <row r="23" spans="1:27" ht="15.75" x14ac:dyDescent="0.25">
      <c r="A23" s="244" t="s">
        <v>549</v>
      </c>
      <c r="B23" s="245">
        <v>2195</v>
      </c>
      <c r="C23" s="245">
        <v>1395</v>
      </c>
      <c r="D23" s="245">
        <v>695</v>
      </c>
      <c r="E23" s="245">
        <v>1438</v>
      </c>
      <c r="F23" s="246" t="s">
        <v>395</v>
      </c>
      <c r="G23" s="245"/>
      <c r="K23" s="169" t="s">
        <v>548</v>
      </c>
      <c r="L23" s="170">
        <v>717</v>
      </c>
      <c r="M23" s="170">
        <v>477</v>
      </c>
      <c r="N23" s="170">
        <v>269</v>
      </c>
      <c r="P23" s="169" t="s">
        <v>353</v>
      </c>
      <c r="Q23" s="170">
        <v>125</v>
      </c>
      <c r="R23" s="170">
        <v>0</v>
      </c>
      <c r="W23" s="151"/>
      <c r="X23" s="151"/>
      <c r="Y23" s="151"/>
      <c r="Z23" s="151"/>
      <c r="AA23" s="151"/>
    </row>
    <row r="24" spans="1:27" ht="15.75" x14ac:dyDescent="0.25">
      <c r="A24" s="244" t="s">
        <v>550</v>
      </c>
      <c r="B24" s="247" t="s">
        <v>551</v>
      </c>
      <c r="C24" s="247" t="s">
        <v>551</v>
      </c>
      <c r="D24" s="247" t="s">
        <v>551</v>
      </c>
      <c r="E24" s="247" t="s">
        <v>551</v>
      </c>
      <c r="F24" s="245"/>
      <c r="G24" s="245"/>
      <c r="K24" s="167" t="s">
        <v>353</v>
      </c>
      <c r="L24" s="168">
        <v>75</v>
      </c>
      <c r="M24" s="168" t="s">
        <v>542</v>
      </c>
      <c r="N24" s="168" t="s">
        <v>542</v>
      </c>
      <c r="P24" s="167" t="s">
        <v>355</v>
      </c>
      <c r="Q24" s="168">
        <v>95</v>
      </c>
      <c r="R24" s="168">
        <v>95</v>
      </c>
      <c r="W24" s="151"/>
      <c r="X24" s="151"/>
      <c r="Y24" s="151"/>
      <c r="Z24" s="151"/>
      <c r="AA24" s="151"/>
    </row>
    <row r="25" spans="1:27" ht="15.75" x14ac:dyDescent="0.25">
      <c r="A25" s="244" t="s">
        <v>552</v>
      </c>
      <c r="B25" s="245"/>
      <c r="C25" s="245"/>
      <c r="D25" s="245"/>
      <c r="E25" s="245">
        <v>149</v>
      </c>
      <c r="F25" s="245"/>
      <c r="G25" s="245"/>
      <c r="K25" s="169" t="s">
        <v>360</v>
      </c>
      <c r="L25" s="170">
        <v>315</v>
      </c>
      <c r="M25" s="170">
        <v>237</v>
      </c>
      <c r="N25" s="170">
        <v>147</v>
      </c>
      <c r="P25" s="169" t="s">
        <v>356</v>
      </c>
      <c r="Q25" s="170">
        <v>249</v>
      </c>
      <c r="R25" s="170">
        <v>129</v>
      </c>
      <c r="W25" s="151"/>
      <c r="X25" s="151"/>
      <c r="Y25" s="151"/>
      <c r="Z25" s="151"/>
      <c r="AA25" s="151"/>
    </row>
    <row r="26" spans="1:27" ht="15.75" x14ac:dyDescent="0.25">
      <c r="A26" s="244" t="s">
        <v>353</v>
      </c>
      <c r="B26" s="245">
        <v>125</v>
      </c>
      <c r="C26" s="245"/>
      <c r="D26" s="245"/>
      <c r="E26" s="245">
        <v>125</v>
      </c>
      <c r="F26" s="245"/>
      <c r="G26" s="245"/>
      <c r="K26" s="167" t="s">
        <v>361</v>
      </c>
      <c r="L26" s="168">
        <v>315</v>
      </c>
      <c r="M26" s="168">
        <v>237</v>
      </c>
      <c r="N26" s="168">
        <v>147</v>
      </c>
      <c r="P26" s="167" t="s">
        <v>357</v>
      </c>
      <c r="Q26" s="168">
        <v>149</v>
      </c>
      <c r="R26" s="168">
        <v>149</v>
      </c>
      <c r="AA26" s="151"/>
    </row>
    <row r="27" spans="1:27" ht="15.75" x14ac:dyDescent="0.25">
      <c r="A27" s="244" t="s">
        <v>355</v>
      </c>
      <c r="B27" s="245"/>
      <c r="C27" s="245"/>
      <c r="D27" s="245"/>
      <c r="E27" s="245">
        <v>95</v>
      </c>
      <c r="F27" s="245">
        <v>35</v>
      </c>
      <c r="G27" s="245"/>
      <c r="K27" s="169" t="s">
        <v>362</v>
      </c>
      <c r="L27" s="170">
        <v>375</v>
      </c>
      <c r="M27" s="170">
        <v>255</v>
      </c>
      <c r="N27" s="170">
        <v>177</v>
      </c>
      <c r="P27" s="169" t="s">
        <v>358</v>
      </c>
      <c r="Q27" s="170">
        <v>75</v>
      </c>
      <c r="R27" s="170">
        <v>75</v>
      </c>
      <c r="AA27" s="151"/>
    </row>
    <row r="28" spans="1:27" ht="15.75" x14ac:dyDescent="0.25">
      <c r="A28" s="244" t="s">
        <v>356</v>
      </c>
      <c r="B28" s="245"/>
      <c r="C28" s="245"/>
      <c r="D28" s="245"/>
      <c r="E28" s="245">
        <v>249</v>
      </c>
      <c r="F28" s="245">
        <v>35</v>
      </c>
      <c r="G28" s="245"/>
      <c r="K28" s="167" t="s">
        <v>363</v>
      </c>
      <c r="L28" s="168">
        <v>375</v>
      </c>
      <c r="M28" s="168">
        <v>255</v>
      </c>
      <c r="N28" s="168">
        <v>177</v>
      </c>
      <c r="P28" s="167" t="s">
        <v>359</v>
      </c>
      <c r="Q28" s="168">
        <v>295</v>
      </c>
      <c r="R28" s="168">
        <v>195</v>
      </c>
      <c r="AA28" s="151"/>
    </row>
    <row r="29" spans="1:27" ht="15.75" x14ac:dyDescent="0.25">
      <c r="A29" s="244" t="s">
        <v>357</v>
      </c>
      <c r="B29" s="245"/>
      <c r="C29" s="245"/>
      <c r="D29" s="245"/>
      <c r="E29" s="245">
        <v>149</v>
      </c>
      <c r="F29" s="245">
        <v>149</v>
      </c>
      <c r="G29" s="245"/>
      <c r="K29" s="169" t="s">
        <v>364</v>
      </c>
      <c r="L29" s="170">
        <v>315</v>
      </c>
      <c r="M29" s="170">
        <v>237</v>
      </c>
      <c r="N29" s="170">
        <v>147</v>
      </c>
      <c r="P29" s="169" t="s">
        <v>360</v>
      </c>
      <c r="Q29" s="170">
        <v>129</v>
      </c>
      <c r="R29" s="170">
        <v>75</v>
      </c>
      <c r="AA29" s="151"/>
    </row>
    <row r="30" spans="1:27" ht="15.75" x14ac:dyDescent="0.25">
      <c r="A30" s="244" t="s">
        <v>358</v>
      </c>
      <c r="B30" s="245"/>
      <c r="C30" s="245"/>
      <c r="D30" s="245"/>
      <c r="E30" s="245">
        <v>75</v>
      </c>
      <c r="F30" s="245">
        <v>75</v>
      </c>
      <c r="G30" s="245"/>
      <c r="K30" s="167" t="s">
        <v>365</v>
      </c>
      <c r="L30" s="168">
        <v>315</v>
      </c>
      <c r="M30" s="168">
        <v>237</v>
      </c>
      <c r="N30" s="168">
        <v>147</v>
      </c>
      <c r="P30" s="167" t="s">
        <v>361</v>
      </c>
      <c r="Q30" s="168">
        <v>195</v>
      </c>
      <c r="R30" s="168">
        <v>129</v>
      </c>
      <c r="AA30" s="151"/>
    </row>
    <row r="31" spans="1:27" ht="15.75" x14ac:dyDescent="0.25">
      <c r="A31" s="244" t="s">
        <v>359</v>
      </c>
      <c r="B31" s="245"/>
      <c r="C31" s="245"/>
      <c r="D31" s="245"/>
      <c r="E31" s="245">
        <v>295</v>
      </c>
      <c r="F31" s="245">
        <v>195</v>
      </c>
      <c r="G31" s="245"/>
      <c r="K31" s="169" t="s">
        <v>366</v>
      </c>
      <c r="L31" s="170">
        <v>375</v>
      </c>
      <c r="M31" s="170">
        <v>255</v>
      </c>
      <c r="N31" s="170">
        <v>177</v>
      </c>
      <c r="P31" s="169" t="s">
        <v>362</v>
      </c>
      <c r="Q31" s="170">
        <v>169</v>
      </c>
      <c r="R31" s="170">
        <v>129</v>
      </c>
      <c r="AA31" s="151"/>
    </row>
    <row r="32" spans="1:27" s="148" customFormat="1" ht="15.75" x14ac:dyDescent="0.25">
      <c r="A32" s="244" t="s">
        <v>360</v>
      </c>
      <c r="B32" s="245">
        <v>525</v>
      </c>
      <c r="C32" s="245">
        <v>395</v>
      </c>
      <c r="D32" s="245">
        <v>245</v>
      </c>
      <c r="E32" s="245">
        <v>129</v>
      </c>
      <c r="F32" s="245">
        <v>75</v>
      </c>
      <c r="G32" s="245"/>
      <c r="K32" s="167" t="s">
        <v>367</v>
      </c>
      <c r="L32" s="168">
        <v>375</v>
      </c>
      <c r="M32" s="168">
        <v>255</v>
      </c>
      <c r="N32" s="168">
        <v>177</v>
      </c>
      <c r="P32" s="167" t="s">
        <v>363</v>
      </c>
      <c r="Q32" s="168">
        <v>235</v>
      </c>
      <c r="R32" s="168">
        <v>129</v>
      </c>
    </row>
    <row r="33" spans="1:18" s="148" customFormat="1" ht="15.75" x14ac:dyDescent="0.25">
      <c r="A33" s="244" t="s">
        <v>361</v>
      </c>
      <c r="B33" s="245">
        <v>525</v>
      </c>
      <c r="C33" s="245">
        <v>395</v>
      </c>
      <c r="D33" s="245">
        <v>245</v>
      </c>
      <c r="E33" s="245">
        <v>195</v>
      </c>
      <c r="F33" s="245">
        <v>129</v>
      </c>
      <c r="G33" s="245"/>
      <c r="K33" s="169" t="s">
        <v>372</v>
      </c>
      <c r="L33" s="174">
        <v>117</v>
      </c>
      <c r="M33" s="170">
        <v>89</v>
      </c>
      <c r="N33" s="170">
        <v>57</v>
      </c>
      <c r="P33" s="169" t="s">
        <v>364</v>
      </c>
      <c r="Q33" s="170">
        <v>295</v>
      </c>
      <c r="R33" s="170">
        <v>149</v>
      </c>
    </row>
    <row r="34" spans="1:18" s="148" customFormat="1" ht="15.75" x14ac:dyDescent="0.25">
      <c r="A34" s="244" t="s">
        <v>362</v>
      </c>
      <c r="B34" s="245">
        <v>625</v>
      </c>
      <c r="C34" s="245">
        <v>425</v>
      </c>
      <c r="D34" s="245">
        <v>295</v>
      </c>
      <c r="E34" s="245">
        <v>169</v>
      </c>
      <c r="F34" s="245">
        <v>129</v>
      </c>
      <c r="G34" s="245"/>
      <c r="K34" s="167" t="s">
        <v>373</v>
      </c>
      <c r="L34" s="168">
        <v>149</v>
      </c>
      <c r="M34" s="168">
        <v>89</v>
      </c>
      <c r="N34" s="168">
        <v>57</v>
      </c>
      <c r="P34" s="167" t="s">
        <v>365</v>
      </c>
      <c r="Q34" s="168">
        <v>349</v>
      </c>
      <c r="R34" s="168">
        <v>149</v>
      </c>
    </row>
    <row r="35" spans="1:18" s="148" customFormat="1" ht="15.75" x14ac:dyDescent="0.25">
      <c r="A35" s="244" t="s">
        <v>363</v>
      </c>
      <c r="B35" s="245">
        <v>625</v>
      </c>
      <c r="C35" s="245">
        <v>425</v>
      </c>
      <c r="D35" s="245">
        <v>295</v>
      </c>
      <c r="E35" s="245">
        <v>235</v>
      </c>
      <c r="F35" s="245">
        <v>129</v>
      </c>
      <c r="G35" s="245"/>
      <c r="K35" s="169" t="s">
        <v>374</v>
      </c>
      <c r="L35" s="170">
        <v>117</v>
      </c>
      <c r="M35" s="170">
        <v>89</v>
      </c>
      <c r="N35" s="170">
        <v>57</v>
      </c>
      <c r="P35" s="169" t="s">
        <v>366</v>
      </c>
      <c r="Q35" s="170">
        <v>429</v>
      </c>
      <c r="R35" s="170">
        <v>149</v>
      </c>
    </row>
    <row r="36" spans="1:18" s="148" customFormat="1" ht="15.75" x14ac:dyDescent="0.25">
      <c r="A36" s="244" t="s">
        <v>364</v>
      </c>
      <c r="B36" s="245">
        <v>525</v>
      </c>
      <c r="C36" s="245">
        <v>395</v>
      </c>
      <c r="D36" s="245">
        <v>245</v>
      </c>
      <c r="E36" s="245">
        <v>295</v>
      </c>
      <c r="F36" s="245">
        <v>149</v>
      </c>
      <c r="G36" s="245"/>
      <c r="K36" s="167" t="s">
        <v>375</v>
      </c>
      <c r="L36" s="168">
        <v>149</v>
      </c>
      <c r="M36" s="168">
        <v>89</v>
      </c>
      <c r="N36" s="168">
        <v>57</v>
      </c>
      <c r="P36" s="167" t="s">
        <v>367</v>
      </c>
      <c r="Q36" s="168">
        <v>495</v>
      </c>
      <c r="R36" s="168">
        <v>149</v>
      </c>
    </row>
    <row r="37" spans="1:18" s="148" customFormat="1" ht="15.75" x14ac:dyDescent="0.25">
      <c r="A37" s="244" t="s">
        <v>365</v>
      </c>
      <c r="B37" s="245">
        <v>525</v>
      </c>
      <c r="C37" s="245">
        <v>395</v>
      </c>
      <c r="D37" s="245">
        <v>245</v>
      </c>
      <c r="E37" s="245">
        <v>349</v>
      </c>
      <c r="F37" s="245">
        <v>149</v>
      </c>
      <c r="G37" s="245"/>
      <c r="K37" s="169" t="s">
        <v>376</v>
      </c>
      <c r="L37" s="170">
        <v>117</v>
      </c>
      <c r="M37" s="170">
        <v>89</v>
      </c>
      <c r="N37" s="170">
        <v>57</v>
      </c>
      <c r="P37" s="169" t="s">
        <v>368</v>
      </c>
      <c r="Q37" s="170">
        <v>499</v>
      </c>
      <c r="R37" s="170">
        <v>0</v>
      </c>
    </row>
    <row r="38" spans="1:18" s="148" customFormat="1" ht="15.75" x14ac:dyDescent="0.25">
      <c r="A38" s="244" t="s">
        <v>366</v>
      </c>
      <c r="B38" s="245">
        <v>625</v>
      </c>
      <c r="C38" s="245">
        <v>425</v>
      </c>
      <c r="D38" s="245">
        <v>295</v>
      </c>
      <c r="E38" s="245">
        <v>429</v>
      </c>
      <c r="F38" s="245">
        <v>149</v>
      </c>
      <c r="G38" s="245"/>
      <c r="K38" s="167" t="s">
        <v>377</v>
      </c>
      <c r="L38" s="168">
        <v>149</v>
      </c>
      <c r="M38" s="168">
        <v>89</v>
      </c>
      <c r="N38" s="168">
        <v>57</v>
      </c>
      <c r="P38" s="167" t="s">
        <v>369</v>
      </c>
      <c r="Q38" s="168">
        <v>699</v>
      </c>
      <c r="R38" s="168">
        <v>0</v>
      </c>
    </row>
    <row r="39" spans="1:18" s="148" customFormat="1" ht="15.75" x14ac:dyDescent="0.25">
      <c r="A39" s="244" t="s">
        <v>367</v>
      </c>
      <c r="B39" s="245">
        <v>625</v>
      </c>
      <c r="C39" s="245">
        <v>425</v>
      </c>
      <c r="D39" s="245">
        <v>295</v>
      </c>
      <c r="E39" s="245">
        <v>495</v>
      </c>
      <c r="F39" s="245">
        <v>149</v>
      </c>
      <c r="G39" s="245"/>
      <c r="K39" s="169" t="s">
        <v>378</v>
      </c>
      <c r="L39" s="170">
        <v>117</v>
      </c>
      <c r="M39" s="170">
        <v>89</v>
      </c>
      <c r="N39" s="170">
        <v>57</v>
      </c>
      <c r="P39" s="169" t="s">
        <v>370</v>
      </c>
      <c r="Q39" s="170">
        <v>495</v>
      </c>
      <c r="R39" s="170">
        <v>0</v>
      </c>
    </row>
    <row r="40" spans="1:18" s="148" customFormat="1" ht="15.75" x14ac:dyDescent="0.25">
      <c r="A40" s="244" t="s">
        <v>368</v>
      </c>
      <c r="B40" s="245"/>
      <c r="C40" s="245"/>
      <c r="D40" s="245"/>
      <c r="E40" s="245">
        <v>499</v>
      </c>
      <c r="F40" s="245"/>
      <c r="G40" s="245"/>
      <c r="K40" s="167" t="s">
        <v>379</v>
      </c>
      <c r="L40" s="163">
        <v>149</v>
      </c>
      <c r="M40" s="163">
        <v>89</v>
      </c>
      <c r="N40" s="163">
        <v>57</v>
      </c>
      <c r="P40" s="167" t="s">
        <v>371</v>
      </c>
      <c r="Q40" s="168">
        <v>790</v>
      </c>
      <c r="R40" s="168">
        <v>0</v>
      </c>
    </row>
    <row r="41" spans="1:18" s="148" customFormat="1" ht="15.75" x14ac:dyDescent="0.25">
      <c r="A41" s="244" t="s">
        <v>553</v>
      </c>
      <c r="B41" s="245">
        <v>249</v>
      </c>
      <c r="C41" s="245">
        <v>149</v>
      </c>
      <c r="D41" s="245">
        <v>95</v>
      </c>
      <c r="E41" s="245">
        <v>395</v>
      </c>
      <c r="F41" s="245"/>
      <c r="G41" s="245"/>
      <c r="K41" s="169" t="s">
        <v>380</v>
      </c>
      <c r="L41" s="171">
        <v>75</v>
      </c>
      <c r="M41" s="171" t="s">
        <v>542</v>
      </c>
      <c r="N41" s="171" t="s">
        <v>542</v>
      </c>
      <c r="P41" s="169" t="s">
        <v>372</v>
      </c>
      <c r="Q41" s="170">
        <v>149</v>
      </c>
      <c r="R41" s="170">
        <v>0</v>
      </c>
    </row>
    <row r="42" spans="1:18" s="148" customFormat="1" ht="15.75" x14ac:dyDescent="0.25">
      <c r="A42" s="244" t="s">
        <v>376</v>
      </c>
      <c r="B42" s="245">
        <v>195</v>
      </c>
      <c r="C42" s="245">
        <v>149</v>
      </c>
      <c r="D42" s="245">
        <v>95</v>
      </c>
      <c r="E42" s="245">
        <v>149</v>
      </c>
      <c r="F42" s="245"/>
      <c r="G42" s="245"/>
      <c r="K42" s="167" t="s">
        <v>354</v>
      </c>
      <c r="L42" s="163">
        <v>95</v>
      </c>
      <c r="M42" s="163" t="s">
        <v>542</v>
      </c>
      <c r="N42" s="163">
        <v>57</v>
      </c>
      <c r="P42" s="167" t="s">
        <v>373</v>
      </c>
      <c r="Q42" s="168">
        <v>395</v>
      </c>
      <c r="R42" s="168">
        <v>0</v>
      </c>
    </row>
    <row r="43" spans="1:18" s="148" customFormat="1" ht="15.75" x14ac:dyDescent="0.25">
      <c r="A43" s="244" t="s">
        <v>377</v>
      </c>
      <c r="B43" s="245">
        <v>249</v>
      </c>
      <c r="C43" s="245">
        <v>149</v>
      </c>
      <c r="D43" s="245">
        <v>95</v>
      </c>
      <c r="E43" s="245">
        <v>195</v>
      </c>
      <c r="F43" s="245">
        <v>95</v>
      </c>
      <c r="G43" s="245"/>
      <c r="K43" s="151"/>
      <c r="L43" s="151"/>
      <c r="M43" s="151"/>
      <c r="N43" s="151"/>
      <c r="P43" s="169" t="s">
        <v>374</v>
      </c>
      <c r="Q43" s="170">
        <v>149</v>
      </c>
      <c r="R43" s="170">
        <v>0</v>
      </c>
    </row>
    <row r="44" spans="1:18" s="148" customFormat="1" ht="15.75" x14ac:dyDescent="0.25">
      <c r="A44" s="244" t="s">
        <v>378</v>
      </c>
      <c r="B44" s="245">
        <v>195</v>
      </c>
      <c r="C44" s="245">
        <v>149</v>
      </c>
      <c r="D44" s="245">
        <v>95</v>
      </c>
      <c r="E44" s="245">
        <v>195</v>
      </c>
      <c r="F44" s="245"/>
      <c r="G44" s="245"/>
      <c r="K44" s="151"/>
      <c r="L44" s="151"/>
      <c r="M44" s="151"/>
      <c r="N44" s="151"/>
      <c r="P44" s="167" t="s">
        <v>375</v>
      </c>
      <c r="Q44" s="168">
        <v>395</v>
      </c>
      <c r="R44" s="168">
        <v>0</v>
      </c>
    </row>
    <row r="45" spans="1:18" s="148" customFormat="1" ht="15.75" x14ac:dyDescent="0.25">
      <c r="A45" s="244" t="s">
        <v>379</v>
      </c>
      <c r="B45" s="245">
        <v>249</v>
      </c>
      <c r="C45" s="245">
        <v>149</v>
      </c>
      <c r="D45" s="245">
        <v>95</v>
      </c>
      <c r="E45" s="245">
        <v>249</v>
      </c>
      <c r="F45" s="245">
        <v>149</v>
      </c>
      <c r="G45" s="245"/>
      <c r="K45" s="151"/>
      <c r="L45" s="151"/>
      <c r="M45" s="151"/>
      <c r="N45" s="151"/>
      <c r="P45" s="169" t="s">
        <v>376</v>
      </c>
      <c r="Q45" s="170">
        <v>149</v>
      </c>
      <c r="R45" s="170">
        <v>0</v>
      </c>
    </row>
    <row r="46" spans="1:18" s="148" customFormat="1" ht="15.75" x14ac:dyDescent="0.25">
      <c r="A46" s="244" t="s">
        <v>380</v>
      </c>
      <c r="B46" s="245">
        <v>125</v>
      </c>
      <c r="C46" s="245"/>
      <c r="D46" s="245"/>
      <c r="E46" s="245">
        <v>125</v>
      </c>
      <c r="F46" s="245"/>
      <c r="G46" s="245"/>
      <c r="K46" s="151"/>
      <c r="L46" s="151"/>
      <c r="M46" s="151"/>
      <c r="N46" s="151"/>
      <c r="P46" s="167" t="s">
        <v>377</v>
      </c>
      <c r="Q46" s="168">
        <v>195</v>
      </c>
      <c r="R46" s="168">
        <v>95</v>
      </c>
    </row>
    <row r="47" spans="1:18" s="148" customFormat="1" ht="15.75" x14ac:dyDescent="0.25">
      <c r="A47" s="244" t="s">
        <v>354</v>
      </c>
      <c r="B47" s="245">
        <v>158</v>
      </c>
      <c r="C47" s="245"/>
      <c r="D47" s="245">
        <v>95</v>
      </c>
      <c r="E47" s="245"/>
      <c r="F47" s="245"/>
      <c r="G47" s="245"/>
      <c r="K47" s="151"/>
      <c r="L47" s="151"/>
      <c r="M47" s="151"/>
      <c r="N47" s="151"/>
      <c r="P47" s="169" t="s">
        <v>378</v>
      </c>
      <c r="Q47" s="170">
        <v>195</v>
      </c>
      <c r="R47" s="170">
        <v>0</v>
      </c>
    </row>
    <row r="48" spans="1:18" s="148" customFormat="1" x14ac:dyDescent="0.2">
      <c r="K48" s="151"/>
      <c r="L48" s="151"/>
      <c r="M48" s="151"/>
      <c r="N48" s="151"/>
      <c r="P48" s="167" t="s">
        <v>379</v>
      </c>
      <c r="Q48" s="163">
        <v>249</v>
      </c>
      <c r="R48" s="163">
        <v>149</v>
      </c>
    </row>
    <row r="49" spans="1:27" s="148" customFormat="1" x14ac:dyDescent="0.2">
      <c r="A49" s="158"/>
      <c r="K49" s="151"/>
      <c r="L49" s="151"/>
      <c r="M49" s="151"/>
      <c r="N49" s="151"/>
      <c r="P49" s="169" t="s">
        <v>380</v>
      </c>
      <c r="Q49" s="171">
        <v>125</v>
      </c>
      <c r="R49" s="171">
        <v>0</v>
      </c>
    </row>
    <row r="50" spans="1:27" s="148" customFormat="1" x14ac:dyDescent="0.2">
      <c r="A50" s="151"/>
      <c r="K50" s="151"/>
      <c r="L50" s="151"/>
      <c r="M50" s="151"/>
      <c r="N50" s="151"/>
      <c r="P50" s="167" t="s">
        <v>354</v>
      </c>
      <c r="Q50" s="163">
        <v>0</v>
      </c>
      <c r="R50" s="163">
        <v>0</v>
      </c>
    </row>
    <row r="51" spans="1:27" s="148" customFormat="1" x14ac:dyDescent="0.2">
      <c r="A51" s="151"/>
      <c r="K51" s="151"/>
      <c r="L51" s="151"/>
      <c r="M51" s="151"/>
      <c r="N51" s="151"/>
    </row>
    <row r="52" spans="1:27" s="148" customFormat="1" x14ac:dyDescent="0.2">
      <c r="A52" s="151"/>
    </row>
    <row r="53" spans="1:27" x14ac:dyDescent="0.2">
      <c r="AA53" s="151"/>
    </row>
    <row r="54" spans="1:27" s="148" customFormat="1" ht="16.5" thickBot="1" x14ac:dyDescent="0.3">
      <c r="A54" s="248" t="s">
        <v>381</v>
      </c>
      <c r="B54" s="241" t="s">
        <v>337</v>
      </c>
      <c r="C54" s="241" t="s">
        <v>338</v>
      </c>
      <c r="D54" s="241" t="s">
        <v>339</v>
      </c>
      <c r="E54" s="241" t="s">
        <v>216</v>
      </c>
      <c r="F54" s="241" t="s">
        <v>340</v>
      </c>
      <c r="G54" s="241" t="s">
        <v>341</v>
      </c>
      <c r="H54" s="156"/>
      <c r="I54" s="156"/>
      <c r="J54" s="156"/>
      <c r="K54" s="162" t="s">
        <v>382</v>
      </c>
      <c r="L54" s="161" t="s">
        <v>337</v>
      </c>
      <c r="M54" s="161" t="s">
        <v>338</v>
      </c>
      <c r="N54" s="161" t="s">
        <v>339</v>
      </c>
    </row>
    <row r="55" spans="1:27" s="148" customFormat="1" ht="16.5" thickTop="1" x14ac:dyDescent="0.25">
      <c r="A55" s="242" t="s">
        <v>345</v>
      </c>
      <c r="B55" s="249">
        <v>61</v>
      </c>
      <c r="C55" s="249">
        <v>61</v>
      </c>
      <c r="D55" s="249">
        <v>61</v>
      </c>
      <c r="E55" s="249">
        <v>61</v>
      </c>
      <c r="F55" s="249">
        <v>61</v>
      </c>
      <c r="G55" s="249">
        <v>61</v>
      </c>
      <c r="K55" s="164" t="s">
        <v>344</v>
      </c>
      <c r="L55" s="165">
        <v>45</v>
      </c>
      <c r="M55" s="166"/>
      <c r="N55" s="166"/>
    </row>
    <row r="56" spans="1:27" s="148" customFormat="1" ht="15.75" x14ac:dyDescent="0.25">
      <c r="A56" s="244" t="s">
        <v>346</v>
      </c>
      <c r="B56" s="250">
        <v>169</v>
      </c>
      <c r="C56" s="250">
        <v>281</v>
      </c>
      <c r="D56" s="250"/>
      <c r="E56" s="250"/>
      <c r="F56" s="250"/>
      <c r="G56" s="250"/>
      <c r="K56" s="167" t="s">
        <v>345</v>
      </c>
      <c r="L56" s="168">
        <v>36</v>
      </c>
      <c r="M56" s="168">
        <v>36</v>
      </c>
      <c r="N56" s="168">
        <v>36</v>
      </c>
    </row>
    <row r="57" spans="1:27" s="148" customFormat="1" ht="15.75" x14ac:dyDescent="0.25">
      <c r="A57" s="244" t="s">
        <v>543</v>
      </c>
      <c r="B57" s="250">
        <v>169</v>
      </c>
      <c r="C57" s="250"/>
      <c r="D57" s="250"/>
      <c r="E57" s="250">
        <v>174</v>
      </c>
      <c r="F57" s="250"/>
      <c r="G57" s="250"/>
      <c r="K57" s="169" t="s">
        <v>346</v>
      </c>
      <c r="L57" s="170" t="s">
        <v>542</v>
      </c>
      <c r="M57" s="170">
        <v>168</v>
      </c>
      <c r="N57" s="170" t="s">
        <v>542</v>
      </c>
    </row>
    <row r="58" spans="1:27" s="148" customFormat="1" ht="15.75" x14ac:dyDescent="0.25">
      <c r="A58" s="244" t="s">
        <v>544</v>
      </c>
      <c r="B58" s="250">
        <v>169</v>
      </c>
      <c r="C58" s="250"/>
      <c r="D58" s="250"/>
      <c r="E58" s="250">
        <v>263</v>
      </c>
      <c r="F58" s="250"/>
      <c r="G58" s="250"/>
      <c r="K58" s="167" t="s">
        <v>347</v>
      </c>
      <c r="L58" s="168">
        <v>101</v>
      </c>
      <c r="M58" s="168" t="s">
        <v>542</v>
      </c>
      <c r="N58" s="168" t="s">
        <v>542</v>
      </c>
    </row>
    <row r="59" spans="1:27" s="148" customFormat="1" ht="30.75" x14ac:dyDescent="0.25">
      <c r="A59" s="244" t="s">
        <v>350</v>
      </c>
      <c r="B59" s="250">
        <v>668</v>
      </c>
      <c r="C59" s="250">
        <v>533</v>
      </c>
      <c r="D59" s="250">
        <v>201</v>
      </c>
      <c r="E59" s="250">
        <v>533</v>
      </c>
      <c r="F59" s="250"/>
      <c r="G59" s="250"/>
      <c r="K59" s="169" t="s">
        <v>348</v>
      </c>
      <c r="L59" s="170">
        <v>101</v>
      </c>
      <c r="M59" s="170" t="s">
        <v>542</v>
      </c>
      <c r="N59" s="170" t="s">
        <v>542</v>
      </c>
    </row>
    <row r="60" spans="1:27" s="148" customFormat="1" ht="15.75" x14ac:dyDescent="0.25">
      <c r="A60" s="244" t="s">
        <v>349</v>
      </c>
      <c r="B60" s="250">
        <v>201</v>
      </c>
      <c r="C60" s="250">
        <v>155</v>
      </c>
      <c r="D60" s="250">
        <v>68</v>
      </c>
      <c r="E60" s="250">
        <v>201</v>
      </c>
      <c r="F60" s="250" t="s">
        <v>554</v>
      </c>
      <c r="G60" s="250"/>
      <c r="K60" s="167" t="s">
        <v>349</v>
      </c>
      <c r="L60" s="168">
        <v>120</v>
      </c>
      <c r="M60" s="168">
        <v>93</v>
      </c>
      <c r="N60" s="168">
        <v>30</v>
      </c>
    </row>
    <row r="61" spans="1:27" s="148" customFormat="1" ht="15.75" x14ac:dyDescent="0.25">
      <c r="A61" s="244" t="s">
        <v>545</v>
      </c>
      <c r="B61" s="250">
        <v>938</v>
      </c>
      <c r="C61" s="250">
        <v>668</v>
      </c>
      <c r="D61" s="250">
        <v>398</v>
      </c>
      <c r="E61" s="250">
        <v>668</v>
      </c>
      <c r="F61" s="250" t="s">
        <v>554</v>
      </c>
      <c r="G61" s="250"/>
      <c r="K61" s="169" t="s">
        <v>350</v>
      </c>
      <c r="L61" s="170">
        <v>401</v>
      </c>
      <c r="M61" s="170">
        <v>320</v>
      </c>
      <c r="N61" s="170">
        <v>89</v>
      </c>
    </row>
    <row r="62" spans="1:27" s="148" customFormat="1" ht="15.75" x14ac:dyDescent="0.25">
      <c r="A62" s="244" t="s">
        <v>547</v>
      </c>
      <c r="B62" s="250">
        <v>1613</v>
      </c>
      <c r="C62" s="250">
        <v>1073</v>
      </c>
      <c r="D62" s="250">
        <v>606</v>
      </c>
      <c r="E62" s="250">
        <v>1195</v>
      </c>
      <c r="F62" s="250" t="s">
        <v>554</v>
      </c>
      <c r="G62" s="250"/>
      <c r="K62" s="167" t="s">
        <v>546</v>
      </c>
      <c r="L62" s="168">
        <v>563</v>
      </c>
      <c r="M62" s="168">
        <v>401</v>
      </c>
      <c r="N62" s="168">
        <v>177</v>
      </c>
    </row>
    <row r="63" spans="1:27" s="148" customFormat="1" ht="15.75" x14ac:dyDescent="0.25">
      <c r="A63" s="244" t="s">
        <v>549</v>
      </c>
      <c r="B63" s="250">
        <v>2963</v>
      </c>
      <c r="C63" s="250">
        <v>1883</v>
      </c>
      <c r="D63" s="250">
        <v>938</v>
      </c>
      <c r="E63" s="250">
        <v>1941</v>
      </c>
      <c r="F63" s="250" t="s">
        <v>554</v>
      </c>
      <c r="G63" s="250"/>
      <c r="K63" s="169" t="s">
        <v>548</v>
      </c>
      <c r="L63" s="170">
        <v>968</v>
      </c>
      <c r="M63" s="170">
        <v>644</v>
      </c>
      <c r="N63" s="170">
        <v>269</v>
      </c>
    </row>
    <row r="64" spans="1:27" s="148" customFormat="1" ht="15.75" x14ac:dyDescent="0.25">
      <c r="A64" s="244" t="s">
        <v>550</v>
      </c>
      <c r="B64" s="247" t="s">
        <v>551</v>
      </c>
      <c r="C64" s="247" t="s">
        <v>551</v>
      </c>
      <c r="D64" s="247" t="s">
        <v>551</v>
      </c>
      <c r="E64" s="247" t="s">
        <v>551</v>
      </c>
      <c r="F64" s="250"/>
      <c r="G64" s="250"/>
      <c r="K64" s="167" t="s">
        <v>353</v>
      </c>
      <c r="L64" s="168">
        <v>101</v>
      </c>
      <c r="M64" s="168" t="s">
        <v>542</v>
      </c>
      <c r="N64" s="168" t="s">
        <v>542</v>
      </c>
    </row>
    <row r="65" spans="1:14" s="148" customFormat="1" ht="15.75" x14ac:dyDescent="0.25">
      <c r="A65" s="244" t="s">
        <v>552</v>
      </c>
      <c r="B65" s="250"/>
      <c r="C65" s="250"/>
      <c r="D65" s="250"/>
      <c r="E65" s="250">
        <v>201</v>
      </c>
      <c r="F65" s="250"/>
      <c r="G65" s="250"/>
      <c r="K65" s="169" t="s">
        <v>360</v>
      </c>
      <c r="L65" s="170">
        <v>401</v>
      </c>
      <c r="M65" s="170">
        <v>320</v>
      </c>
      <c r="N65" s="170">
        <v>89</v>
      </c>
    </row>
    <row r="66" spans="1:14" s="148" customFormat="1" ht="15.75" x14ac:dyDescent="0.25">
      <c r="A66" s="244" t="s">
        <v>353</v>
      </c>
      <c r="B66" s="250">
        <v>169</v>
      </c>
      <c r="C66" s="250"/>
      <c r="D66" s="250"/>
      <c r="E66" s="250">
        <v>169</v>
      </c>
      <c r="F66" s="250"/>
      <c r="G66" s="250"/>
      <c r="K66" s="167" t="s">
        <v>361</v>
      </c>
      <c r="L66" s="168">
        <v>401</v>
      </c>
      <c r="M66" s="168">
        <v>320</v>
      </c>
      <c r="N66" s="168">
        <v>89</v>
      </c>
    </row>
    <row r="67" spans="1:14" s="148" customFormat="1" ht="15.75" x14ac:dyDescent="0.25">
      <c r="A67" s="244" t="s">
        <v>355</v>
      </c>
      <c r="B67" s="250"/>
      <c r="C67" s="250"/>
      <c r="D67" s="250"/>
      <c r="E67" s="250">
        <v>128</v>
      </c>
      <c r="F67" s="250">
        <v>47</v>
      </c>
      <c r="G67" s="250"/>
      <c r="K67" s="169" t="s">
        <v>362</v>
      </c>
      <c r="L67" s="170">
        <v>482</v>
      </c>
      <c r="M67" s="170">
        <v>401</v>
      </c>
      <c r="N67" s="170">
        <v>119</v>
      </c>
    </row>
    <row r="68" spans="1:14" s="148" customFormat="1" ht="15.75" x14ac:dyDescent="0.25">
      <c r="A68" s="244" t="s">
        <v>356</v>
      </c>
      <c r="B68" s="250"/>
      <c r="C68" s="250"/>
      <c r="D68" s="250"/>
      <c r="E68" s="250">
        <v>336</v>
      </c>
      <c r="F68" s="250">
        <v>47</v>
      </c>
      <c r="G68" s="250"/>
      <c r="K68" s="167" t="s">
        <v>363</v>
      </c>
      <c r="L68" s="168">
        <v>482</v>
      </c>
      <c r="M68" s="168">
        <v>401</v>
      </c>
      <c r="N68" s="168">
        <v>119</v>
      </c>
    </row>
    <row r="69" spans="1:14" s="148" customFormat="1" ht="15.75" x14ac:dyDescent="0.25">
      <c r="A69" s="244" t="s">
        <v>357</v>
      </c>
      <c r="B69" s="250"/>
      <c r="C69" s="250"/>
      <c r="D69" s="250"/>
      <c r="E69" s="250">
        <v>201</v>
      </c>
      <c r="F69" s="250">
        <v>201</v>
      </c>
      <c r="G69" s="250"/>
      <c r="K69" s="169" t="s">
        <v>364</v>
      </c>
      <c r="L69" s="170">
        <v>401</v>
      </c>
      <c r="M69" s="170">
        <v>320</v>
      </c>
      <c r="N69" s="170">
        <v>89</v>
      </c>
    </row>
    <row r="70" spans="1:14" s="148" customFormat="1" ht="15.75" x14ac:dyDescent="0.25">
      <c r="A70" s="244" t="s">
        <v>358</v>
      </c>
      <c r="B70" s="250"/>
      <c r="C70" s="250"/>
      <c r="D70" s="250"/>
      <c r="E70" s="250">
        <v>101</v>
      </c>
      <c r="F70" s="250">
        <v>101</v>
      </c>
      <c r="G70" s="250"/>
      <c r="K70" s="167" t="s">
        <v>365</v>
      </c>
      <c r="L70" s="168">
        <v>401</v>
      </c>
      <c r="M70" s="168">
        <v>320</v>
      </c>
      <c r="N70" s="168">
        <v>89</v>
      </c>
    </row>
    <row r="71" spans="1:14" s="148" customFormat="1" ht="15.75" x14ac:dyDescent="0.25">
      <c r="A71" s="244" t="s">
        <v>359</v>
      </c>
      <c r="B71" s="250"/>
      <c r="C71" s="250"/>
      <c r="D71" s="250"/>
      <c r="E71" s="250">
        <v>398</v>
      </c>
      <c r="F71" s="250">
        <v>263</v>
      </c>
      <c r="G71" s="250"/>
      <c r="K71" s="169" t="s">
        <v>366</v>
      </c>
      <c r="L71" s="170">
        <v>482</v>
      </c>
      <c r="M71" s="170">
        <v>401</v>
      </c>
      <c r="N71" s="170">
        <v>119</v>
      </c>
    </row>
    <row r="72" spans="1:14" s="148" customFormat="1" ht="15.75" x14ac:dyDescent="0.25">
      <c r="A72" s="244" t="s">
        <v>360</v>
      </c>
      <c r="B72" s="250">
        <v>709</v>
      </c>
      <c r="C72" s="250">
        <v>533</v>
      </c>
      <c r="D72" s="250">
        <v>331</v>
      </c>
      <c r="E72" s="250">
        <v>174</v>
      </c>
      <c r="F72" s="250">
        <v>101</v>
      </c>
      <c r="G72" s="250"/>
      <c r="K72" s="167" t="s">
        <v>367</v>
      </c>
      <c r="L72" s="168">
        <v>482</v>
      </c>
      <c r="M72" s="168">
        <v>401</v>
      </c>
      <c r="N72" s="168">
        <v>119</v>
      </c>
    </row>
    <row r="73" spans="1:14" s="148" customFormat="1" ht="15.75" x14ac:dyDescent="0.25">
      <c r="A73" s="244" t="s">
        <v>361</v>
      </c>
      <c r="B73" s="250">
        <v>709</v>
      </c>
      <c r="C73" s="250">
        <v>533</v>
      </c>
      <c r="D73" s="250">
        <v>331</v>
      </c>
      <c r="E73" s="250">
        <v>263</v>
      </c>
      <c r="F73" s="250">
        <v>174</v>
      </c>
      <c r="G73" s="250"/>
      <c r="K73" s="169" t="s">
        <v>372</v>
      </c>
      <c r="L73" s="170">
        <v>158</v>
      </c>
      <c r="M73" s="170">
        <v>120</v>
      </c>
      <c r="N73" s="170">
        <v>57</v>
      </c>
    </row>
    <row r="74" spans="1:14" s="148" customFormat="1" ht="15.75" x14ac:dyDescent="0.25">
      <c r="A74" s="244" t="s">
        <v>362</v>
      </c>
      <c r="B74" s="250">
        <v>844</v>
      </c>
      <c r="C74" s="250">
        <v>574</v>
      </c>
      <c r="D74" s="250">
        <v>398</v>
      </c>
      <c r="E74" s="250">
        <v>228</v>
      </c>
      <c r="F74" s="250">
        <v>174</v>
      </c>
      <c r="G74" s="250"/>
      <c r="K74" s="167" t="s">
        <v>373</v>
      </c>
      <c r="L74" s="168">
        <v>202</v>
      </c>
      <c r="M74" s="168">
        <v>120</v>
      </c>
      <c r="N74" s="168">
        <v>57</v>
      </c>
    </row>
    <row r="75" spans="1:14" s="148" customFormat="1" ht="15.75" x14ac:dyDescent="0.25">
      <c r="A75" s="244" t="s">
        <v>363</v>
      </c>
      <c r="B75" s="250">
        <v>844</v>
      </c>
      <c r="C75" s="250">
        <v>574</v>
      </c>
      <c r="D75" s="250">
        <v>398</v>
      </c>
      <c r="E75" s="250">
        <v>317</v>
      </c>
      <c r="F75" s="250">
        <v>174</v>
      </c>
      <c r="G75" s="250"/>
      <c r="K75" s="169" t="s">
        <v>374</v>
      </c>
      <c r="L75" s="170">
        <v>158</v>
      </c>
      <c r="M75" s="170">
        <v>120</v>
      </c>
      <c r="N75" s="170">
        <v>57</v>
      </c>
    </row>
    <row r="76" spans="1:14" s="148" customFormat="1" ht="15.75" x14ac:dyDescent="0.25">
      <c r="A76" s="244" t="s">
        <v>364</v>
      </c>
      <c r="B76" s="250">
        <v>709</v>
      </c>
      <c r="C76" s="250">
        <v>533</v>
      </c>
      <c r="D76" s="250">
        <v>331</v>
      </c>
      <c r="E76" s="250">
        <v>398</v>
      </c>
      <c r="F76" s="250">
        <v>201</v>
      </c>
      <c r="G76" s="250"/>
      <c r="K76" s="167" t="s">
        <v>375</v>
      </c>
      <c r="L76" s="168">
        <v>202</v>
      </c>
      <c r="M76" s="168">
        <v>120</v>
      </c>
      <c r="N76" s="168">
        <v>57</v>
      </c>
    </row>
    <row r="77" spans="1:14" s="148" customFormat="1" ht="15.75" x14ac:dyDescent="0.25">
      <c r="A77" s="244" t="s">
        <v>365</v>
      </c>
      <c r="B77" s="250">
        <v>709</v>
      </c>
      <c r="C77" s="250">
        <v>533</v>
      </c>
      <c r="D77" s="250">
        <v>331</v>
      </c>
      <c r="E77" s="250">
        <v>471</v>
      </c>
      <c r="F77" s="250">
        <v>201</v>
      </c>
      <c r="G77" s="250"/>
      <c r="K77" s="169" t="s">
        <v>376</v>
      </c>
      <c r="L77" s="170">
        <v>158</v>
      </c>
      <c r="M77" s="170">
        <v>120</v>
      </c>
      <c r="N77" s="170">
        <v>57</v>
      </c>
    </row>
    <row r="78" spans="1:14" s="148" customFormat="1" ht="15.75" x14ac:dyDescent="0.25">
      <c r="A78" s="244" t="s">
        <v>366</v>
      </c>
      <c r="B78" s="250">
        <v>844</v>
      </c>
      <c r="C78" s="250">
        <v>574</v>
      </c>
      <c r="D78" s="250">
        <v>398</v>
      </c>
      <c r="E78" s="250">
        <v>579</v>
      </c>
      <c r="F78" s="250">
        <v>201</v>
      </c>
      <c r="G78" s="250"/>
      <c r="K78" s="167" t="s">
        <v>377</v>
      </c>
      <c r="L78" s="168">
        <v>202</v>
      </c>
      <c r="M78" s="168">
        <v>120</v>
      </c>
      <c r="N78" s="168">
        <v>57</v>
      </c>
    </row>
    <row r="79" spans="1:14" s="148" customFormat="1" ht="15.75" x14ac:dyDescent="0.25">
      <c r="A79" s="244" t="s">
        <v>367</v>
      </c>
      <c r="B79" s="250">
        <v>844</v>
      </c>
      <c r="C79" s="250">
        <v>574</v>
      </c>
      <c r="D79" s="250">
        <v>398</v>
      </c>
      <c r="E79" s="250">
        <v>668</v>
      </c>
      <c r="F79" s="250">
        <v>201</v>
      </c>
      <c r="G79" s="250"/>
      <c r="K79" s="169" t="s">
        <v>378</v>
      </c>
      <c r="L79" s="170">
        <v>158</v>
      </c>
      <c r="M79" s="170">
        <v>120</v>
      </c>
      <c r="N79" s="170">
        <v>57</v>
      </c>
    </row>
    <row r="80" spans="1:14" s="148" customFormat="1" ht="15.75" x14ac:dyDescent="0.25">
      <c r="A80" s="244" t="s">
        <v>368</v>
      </c>
      <c r="B80" s="250"/>
      <c r="C80" s="250"/>
      <c r="D80" s="250"/>
      <c r="E80" s="250">
        <v>674</v>
      </c>
      <c r="F80" s="250"/>
      <c r="G80" s="250"/>
      <c r="K80" s="167" t="s">
        <v>379</v>
      </c>
      <c r="L80" s="163">
        <v>202</v>
      </c>
      <c r="M80" s="163">
        <v>120</v>
      </c>
      <c r="N80" s="163">
        <v>57</v>
      </c>
    </row>
    <row r="81" spans="1:14" s="148" customFormat="1" ht="15.75" x14ac:dyDescent="0.25">
      <c r="A81" s="244" t="s">
        <v>553</v>
      </c>
      <c r="B81" s="250">
        <v>336</v>
      </c>
      <c r="C81" s="250">
        <v>201</v>
      </c>
      <c r="D81" s="250">
        <v>128</v>
      </c>
      <c r="E81" s="250">
        <v>533</v>
      </c>
      <c r="F81" s="250"/>
      <c r="G81" s="250"/>
      <c r="K81" s="169" t="s">
        <v>380</v>
      </c>
      <c r="L81" s="171">
        <v>101</v>
      </c>
      <c r="M81" s="171" t="s">
        <v>542</v>
      </c>
      <c r="N81" s="171" t="s">
        <v>542</v>
      </c>
    </row>
    <row r="82" spans="1:14" s="148" customFormat="1" ht="15.75" x14ac:dyDescent="0.25">
      <c r="A82" s="244" t="s">
        <v>376</v>
      </c>
      <c r="B82" s="250">
        <v>263</v>
      </c>
      <c r="C82" s="250">
        <v>201</v>
      </c>
      <c r="D82" s="250">
        <v>128</v>
      </c>
      <c r="E82" s="250">
        <v>201</v>
      </c>
      <c r="F82" s="250"/>
      <c r="G82" s="250"/>
      <c r="K82" s="167" t="s">
        <v>354</v>
      </c>
      <c r="L82" s="163">
        <v>128</v>
      </c>
      <c r="M82" s="163" t="s">
        <v>542</v>
      </c>
      <c r="N82" s="163">
        <v>57</v>
      </c>
    </row>
    <row r="83" spans="1:14" s="148" customFormat="1" ht="15.75" x14ac:dyDescent="0.25">
      <c r="A83" s="244" t="s">
        <v>377</v>
      </c>
      <c r="B83" s="250">
        <v>336</v>
      </c>
      <c r="C83" s="250">
        <v>201</v>
      </c>
      <c r="D83" s="250">
        <v>128</v>
      </c>
      <c r="E83" s="250">
        <v>263</v>
      </c>
      <c r="F83" s="250">
        <v>128</v>
      </c>
      <c r="G83" s="250"/>
    </row>
    <row r="84" spans="1:14" s="148" customFormat="1" ht="15.75" x14ac:dyDescent="0.25">
      <c r="A84" s="244" t="s">
        <v>378</v>
      </c>
      <c r="B84" s="250">
        <v>263</v>
      </c>
      <c r="C84" s="250">
        <v>201</v>
      </c>
      <c r="D84" s="250">
        <v>128</v>
      </c>
      <c r="E84" s="250">
        <v>263</v>
      </c>
      <c r="F84" s="250"/>
      <c r="G84" s="250"/>
    </row>
    <row r="85" spans="1:14" s="148" customFormat="1" ht="15.75" x14ac:dyDescent="0.25">
      <c r="A85" s="244" t="s">
        <v>379</v>
      </c>
      <c r="B85" s="250">
        <v>336</v>
      </c>
      <c r="C85" s="250">
        <v>201</v>
      </c>
      <c r="D85" s="250">
        <v>128</v>
      </c>
      <c r="E85" s="250">
        <v>336</v>
      </c>
      <c r="F85" s="250">
        <v>201</v>
      </c>
      <c r="G85" s="250"/>
    </row>
    <row r="86" spans="1:14" s="148" customFormat="1" ht="15.75" x14ac:dyDescent="0.25">
      <c r="A86" s="244" t="s">
        <v>380</v>
      </c>
      <c r="B86" s="250">
        <v>169</v>
      </c>
      <c r="C86" s="250"/>
      <c r="D86" s="250"/>
      <c r="E86" s="250">
        <v>169</v>
      </c>
      <c r="F86" s="250"/>
      <c r="G86" s="250"/>
    </row>
    <row r="87" spans="1:14" s="148" customFormat="1" ht="15.75" x14ac:dyDescent="0.25">
      <c r="A87" s="244" t="s">
        <v>354</v>
      </c>
      <c r="B87" s="250">
        <v>213</v>
      </c>
      <c r="C87" s="250"/>
      <c r="D87" s="250">
        <v>128</v>
      </c>
      <c r="E87" s="250"/>
      <c r="F87" s="250"/>
      <c r="G87" s="250"/>
    </row>
    <row r="88" spans="1:14" s="148" customFormat="1" x14ac:dyDescent="0.2">
      <c r="A88" s="151"/>
    </row>
    <row r="1048541" spans="1:11" x14ac:dyDescent="0.2">
      <c r="A1048541" s="148"/>
    </row>
    <row r="1048542" spans="1:11" s="148" customFormat="1" x14ac:dyDescent="0.2">
      <c r="A1048542" s="151"/>
      <c r="I1048542" s="148" t="e">
        <f>#REF!+G1048505</f>
        <v>#REF!</v>
      </c>
      <c r="J1048542" s="148" t="e">
        <f>#REF!+#REF!</f>
        <v>#REF!</v>
      </c>
      <c r="K1048542" s="148" t="e">
        <f>#REF!+#REF!</f>
        <v>#REF!</v>
      </c>
    </row>
  </sheetData>
  <conditionalFormatting sqref="L16 L17:N19 L22:N42 L57:N79">
    <cfRule type="cellIs" dxfId="254" priority="10" operator="lessThan">
      <formula>1</formula>
    </cfRule>
  </conditionalFormatting>
  <conditionalFormatting sqref="M16:N16">
    <cfRule type="cellIs" dxfId="253" priority="9" operator="lessThan">
      <formula>1</formula>
    </cfRule>
  </conditionalFormatting>
  <conditionalFormatting sqref="N18">
    <cfRule type="cellIs" dxfId="252" priority="8" operator="lessThan">
      <formula>1</formula>
    </cfRule>
  </conditionalFormatting>
  <conditionalFormatting sqref="L56">
    <cfRule type="cellIs" dxfId="251" priority="7" operator="lessThan">
      <formula>1</formula>
    </cfRule>
  </conditionalFormatting>
  <conditionalFormatting sqref="M56:N56">
    <cfRule type="cellIs" dxfId="250" priority="6" operator="lessThan">
      <formula>1</formula>
    </cfRule>
  </conditionalFormatting>
  <conditionalFormatting sqref="N58">
    <cfRule type="cellIs" dxfId="249" priority="5" operator="lessThan">
      <formula>1</formula>
    </cfRule>
  </conditionalFormatting>
  <conditionalFormatting sqref="L55">
    <cfRule type="cellIs" dxfId="248" priority="4" operator="lessThan">
      <formula>1</formula>
    </cfRule>
  </conditionalFormatting>
  <conditionalFormatting sqref="L15">
    <cfRule type="cellIs" dxfId="247" priority="3" operator="lessThan">
      <formula>1</formula>
    </cfRule>
  </conditionalFormatting>
  <conditionalFormatting sqref="L20:N20">
    <cfRule type="cellIs" dxfId="246" priority="2" operator="lessThan">
      <formula>1</formula>
    </cfRule>
  </conditionalFormatting>
  <conditionalFormatting sqref="L21:N21">
    <cfRule type="cellIs" dxfId="245" priority="1" operator="lessThan">
      <formula>1</formula>
    </cfRule>
  </conditionalFormatting>
  <pageMargins left="0.7" right="0.7" top="0.75" bottom="0.75" header="0.3" footer="0.3"/>
  <pageSetup scale="10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73"/>
  <sheetViews>
    <sheetView view="pageBreakPreview" zoomScale="85" zoomScaleNormal="100" zoomScaleSheetLayoutView="85" workbookViewId="0">
      <selection activeCell="H25" sqref="H25"/>
    </sheetView>
  </sheetViews>
  <sheetFormatPr defaultRowHeight="15" x14ac:dyDescent="0.25"/>
  <cols>
    <col min="1" max="1" width="37.7109375" style="391" customWidth="1"/>
    <col min="2" max="2" width="13" bestFit="1" customWidth="1"/>
    <col min="3" max="3" width="13.28515625" style="406" customWidth="1"/>
    <col min="4" max="4" width="11.7109375" bestFit="1" customWidth="1"/>
    <col min="5" max="5" width="12.140625" style="406" customWidth="1"/>
    <col min="6" max="6" width="12.7109375" style="406" customWidth="1"/>
  </cols>
  <sheetData>
    <row r="1" spans="1:6" x14ac:dyDescent="0.25">
      <c r="A1" s="390" t="s">
        <v>556</v>
      </c>
      <c r="B1" s="175"/>
      <c r="C1" s="403"/>
      <c r="D1" s="175"/>
      <c r="E1" s="403"/>
      <c r="F1" s="403"/>
    </row>
    <row r="2" spans="1:6" x14ac:dyDescent="0.25">
      <c r="A2" s="418" t="s">
        <v>902</v>
      </c>
      <c r="B2" s="419"/>
      <c r="C2" s="421"/>
      <c r="D2" s="422"/>
      <c r="E2" s="421"/>
      <c r="F2" s="421"/>
    </row>
    <row r="3" spans="1:6" x14ac:dyDescent="0.25">
      <c r="A3" s="303" t="s">
        <v>903</v>
      </c>
      <c r="B3" s="72"/>
      <c r="C3" s="421"/>
      <c r="D3" s="422"/>
      <c r="E3" s="421"/>
      <c r="F3" s="421"/>
    </row>
    <row r="4" spans="1:6" x14ac:dyDescent="0.25">
      <c r="A4" s="418" t="s">
        <v>558</v>
      </c>
      <c r="B4" s="419"/>
      <c r="C4" s="421"/>
      <c r="D4" s="422"/>
      <c r="E4" s="421"/>
      <c r="F4" s="421"/>
    </row>
    <row r="5" spans="1:6" x14ac:dyDescent="0.25">
      <c r="A5" s="418" t="s">
        <v>916</v>
      </c>
      <c r="B5" s="419"/>
      <c r="C5" s="421"/>
      <c r="D5" s="422"/>
      <c r="E5" s="421"/>
      <c r="F5" s="421"/>
    </row>
    <row r="6" spans="1:6" x14ac:dyDescent="0.25">
      <c r="A6" s="303" t="s">
        <v>904</v>
      </c>
      <c r="B6" s="72"/>
      <c r="C6" s="421"/>
      <c r="D6" s="422"/>
      <c r="E6" s="421"/>
      <c r="F6" s="421"/>
    </row>
    <row r="7" spans="1:6" x14ac:dyDescent="0.25">
      <c r="A7" s="418" t="s">
        <v>905</v>
      </c>
      <c r="B7" s="419"/>
      <c r="C7" s="421"/>
      <c r="D7" s="422"/>
      <c r="E7" s="421"/>
      <c r="F7" s="421"/>
    </row>
    <row r="8" spans="1:6" x14ac:dyDescent="0.25">
      <c r="A8" s="303" t="s">
        <v>906</v>
      </c>
      <c r="B8" s="72"/>
      <c r="C8" s="421"/>
      <c r="D8" s="422"/>
      <c r="E8" s="421"/>
      <c r="F8" s="421"/>
    </row>
    <row r="9" spans="1:6" x14ac:dyDescent="0.25">
      <c r="A9" s="418" t="s">
        <v>907</v>
      </c>
      <c r="B9" s="419"/>
      <c r="C9" s="421"/>
      <c r="D9" s="422"/>
      <c r="E9" s="421"/>
      <c r="F9" s="421"/>
    </row>
    <row r="10" spans="1:6" x14ac:dyDescent="0.25">
      <c r="A10" s="303" t="s">
        <v>908</v>
      </c>
      <c r="B10" s="72"/>
      <c r="C10" s="421"/>
      <c r="D10" s="422"/>
      <c r="E10" s="421"/>
      <c r="F10" s="421"/>
    </row>
    <row r="11" spans="1:6" x14ac:dyDescent="0.25">
      <c r="A11" s="418" t="s">
        <v>909</v>
      </c>
      <c r="B11" s="419"/>
      <c r="C11" s="421"/>
      <c r="D11" s="422"/>
      <c r="E11" s="421"/>
      <c r="F11" s="421"/>
    </row>
    <row r="12" spans="1:6" x14ac:dyDescent="0.25">
      <c r="A12" s="303" t="s">
        <v>910</v>
      </c>
      <c r="B12" s="72"/>
      <c r="C12" s="421"/>
      <c r="D12" s="422"/>
      <c r="E12" s="421"/>
      <c r="F12" s="421"/>
    </row>
    <row r="13" spans="1:6" x14ac:dyDescent="0.25">
      <c r="A13" s="418" t="s">
        <v>911</v>
      </c>
      <c r="B13" s="419"/>
      <c r="C13" s="421"/>
      <c r="D13" s="422"/>
      <c r="E13" s="421"/>
      <c r="F13" s="421"/>
    </row>
    <row r="14" spans="1:6" x14ac:dyDescent="0.25">
      <c r="A14" s="303" t="s">
        <v>912</v>
      </c>
      <c r="B14" s="72"/>
      <c r="C14" s="421"/>
      <c r="D14" s="422"/>
      <c r="E14" s="421"/>
      <c r="F14" s="421"/>
    </row>
    <row r="15" spans="1:6" x14ac:dyDescent="0.25">
      <c r="A15" s="418" t="s">
        <v>913</v>
      </c>
      <c r="B15" s="419"/>
      <c r="C15" s="421"/>
      <c r="D15" s="422"/>
      <c r="E15" s="421"/>
      <c r="F15" s="421"/>
    </row>
    <row r="16" spans="1:6" x14ac:dyDescent="0.25">
      <c r="A16" s="303" t="s">
        <v>914</v>
      </c>
      <c r="B16" s="72"/>
      <c r="C16" s="421"/>
      <c r="D16" s="422"/>
      <c r="E16" s="421"/>
      <c r="F16" s="421"/>
    </row>
    <row r="17" spans="1:6" x14ac:dyDescent="0.25">
      <c r="A17" s="418" t="s">
        <v>915</v>
      </c>
      <c r="B17" s="419"/>
      <c r="C17" s="421"/>
      <c r="D17" s="422"/>
      <c r="E17" s="421"/>
      <c r="F17" s="421"/>
    </row>
    <row r="18" spans="1:6" x14ac:dyDescent="0.25">
      <c r="A18" s="393"/>
      <c r="B18" s="420"/>
      <c r="C18" s="421"/>
      <c r="D18" s="422"/>
      <c r="E18" s="421"/>
      <c r="F18" s="421"/>
    </row>
    <row r="33" spans="1:7" x14ac:dyDescent="0.25">
      <c r="A33" s="390" t="s">
        <v>221</v>
      </c>
      <c r="B33" s="175"/>
      <c r="C33" s="403"/>
      <c r="D33" s="175"/>
      <c r="E33" s="403"/>
      <c r="F33" s="403"/>
    </row>
    <row r="34" spans="1:7" s="408" customFormat="1" x14ac:dyDescent="0.25">
      <c r="A34" s="407" t="s">
        <v>233</v>
      </c>
      <c r="B34" s="408" t="s">
        <v>562</v>
      </c>
      <c r="C34" s="408" t="s">
        <v>559</v>
      </c>
      <c r="D34" s="408" t="s">
        <v>560</v>
      </c>
      <c r="E34" s="408" t="s">
        <v>561</v>
      </c>
      <c r="F34" s="408" t="s">
        <v>555</v>
      </c>
      <c r="G34" s="409"/>
    </row>
    <row r="35" spans="1:7" ht="30" customHeight="1" x14ac:dyDescent="0.25">
      <c r="A35" s="391" t="s">
        <v>744</v>
      </c>
      <c r="C35" s="404">
        <f>IF(Table53[[#This Row],[Set Up QTY]]="", 0, setupPrice($A$33,Table53[[#This Row],[Description]]))</f>
        <v>0</v>
      </c>
      <c r="D35" s="392"/>
      <c r="E35" s="405"/>
      <c r="F35" s="404">
        <f>Table53[[#This Row],[Set Up QTY]]*Table53[[#This Row],[Setup Price]]+Table53[[#This Row],[Piece Qty]]*Table53[[#This Row],[Price Ea.]]</f>
        <v>0</v>
      </c>
    </row>
    <row r="36" spans="1:7" ht="30" customHeight="1" x14ac:dyDescent="0.25">
      <c r="A36" s="391" t="s">
        <v>626</v>
      </c>
      <c r="C36" s="404">
        <f>IF(Table53[[#This Row],[Set Up QTY]]="", 0, setupPrice($A$33,Table53[[#This Row],[Description]]))</f>
        <v>0</v>
      </c>
      <c r="D36" s="392"/>
      <c r="E36" s="405"/>
      <c r="F36" s="404">
        <f>Table53[[#This Row],[Set Up QTY]]*Table53[[#This Row],[Setup Price]]+Table53[[#This Row],[Piece Qty]]*Table53[[#This Row],[Price Ea.]]</f>
        <v>0</v>
      </c>
    </row>
    <row r="37" spans="1:7" ht="30" customHeight="1" x14ac:dyDescent="0.25">
      <c r="A37" s="391" t="s">
        <v>226</v>
      </c>
      <c r="C37" s="404">
        <f>IF(Table53[[#This Row],[Set Up QTY]]="", 0, setupPrice($A$33,Table53[[#This Row],[Description]]))</f>
        <v>0</v>
      </c>
      <c r="D37" s="392"/>
      <c r="E37" s="405"/>
      <c r="F37" s="404">
        <f>Table53[[#This Row],[Set Up QTY]]*Table53[[#This Row],[Setup Price]]+Table53[[#This Row],[Piece Qty]]*Table53[[#This Row],[Price Ea.]]</f>
        <v>0</v>
      </c>
    </row>
    <row r="38" spans="1:7" ht="30" customHeight="1" x14ac:dyDescent="0.25">
      <c r="A38" s="391" t="s">
        <v>745</v>
      </c>
      <c r="C38" s="404">
        <f>IF(Table53[[#This Row],[Set Up QTY]]="", 0, setupPrice($A$33,Table53[[#This Row],[Description]]))</f>
        <v>0</v>
      </c>
      <c r="D38" s="392"/>
      <c r="E38" s="405"/>
      <c r="F38" s="404">
        <f>Table53[[#This Row],[Set Up QTY]]*Table53[[#This Row],[Setup Price]]+Table53[[#This Row],[Piece Qty]]*Table53[[#This Row],[Price Ea.]]</f>
        <v>0</v>
      </c>
    </row>
    <row r="39" spans="1:7" ht="30" customHeight="1" x14ac:dyDescent="0.25">
      <c r="A39" s="391" t="s">
        <v>746</v>
      </c>
      <c r="C39" s="404">
        <f>IF(Table53[[#This Row],[Set Up QTY]]="", 0, setupPrice($A$33,Table53[[#This Row],[Description]]))</f>
        <v>0</v>
      </c>
      <c r="D39" s="392"/>
      <c r="E39" s="405"/>
      <c r="F39" s="404">
        <f>Table53[[#This Row],[Set Up QTY]]*Table53[[#This Row],[Setup Price]]+Table53[[#This Row],[Piece Qty]]*Table53[[#This Row],[Price Ea.]]</f>
        <v>0</v>
      </c>
    </row>
    <row r="40" spans="1:7" ht="30" customHeight="1" x14ac:dyDescent="0.25">
      <c r="A40" s="391" t="s">
        <v>747</v>
      </c>
      <c r="C40" s="404">
        <f>IF(Table53[[#This Row],[Set Up QTY]]="", 0, setupPrice($A$33,Table53[[#This Row],[Description]]))</f>
        <v>0</v>
      </c>
      <c r="D40" s="392"/>
      <c r="E40" s="405"/>
      <c r="F40" s="404">
        <f>Table53[[#This Row],[Set Up QTY]]*Table53[[#This Row],[Setup Price]]+Table53[[#This Row],[Piece Qty]]*Table53[[#This Row],[Price Ea.]]</f>
        <v>0</v>
      </c>
    </row>
    <row r="41" spans="1:7" ht="30" customHeight="1" x14ac:dyDescent="0.25">
      <c r="A41" s="391" t="s">
        <v>748</v>
      </c>
      <c r="C41" s="404">
        <f>IF(Table53[[#This Row],[Set Up QTY]]="", 0, setupPrice($A$33,Table53[[#This Row],[Description]]))</f>
        <v>0</v>
      </c>
      <c r="D41" s="392"/>
      <c r="E41" s="405"/>
      <c r="F41" s="404">
        <f>Table53[[#This Row],[Set Up QTY]]*Table53[[#This Row],[Setup Price]]+Table53[[#This Row],[Piece Qty]]*Table53[[#This Row],[Price Ea.]]</f>
        <v>0</v>
      </c>
    </row>
    <row r="42" spans="1:7" ht="30" customHeight="1" x14ac:dyDescent="0.25">
      <c r="A42" s="391" t="s">
        <v>749</v>
      </c>
      <c r="C42" s="404">
        <f>IF(Table53[[#This Row],[Set Up QTY]]="", 0, setupPrice($A$33,Table53[[#This Row],[Description]]))</f>
        <v>0</v>
      </c>
      <c r="D42" s="392"/>
      <c r="E42" s="405"/>
      <c r="F42" s="404">
        <f>Table53[[#This Row],[Set Up QTY]]*Table53[[#This Row],[Setup Price]]+Table53[[#This Row],[Piece Qty]]*Table53[[#This Row],[Price Ea.]]</f>
        <v>0</v>
      </c>
    </row>
    <row r="43" spans="1:7" ht="30" customHeight="1" x14ac:dyDescent="0.25">
      <c r="A43" s="391" t="s">
        <v>750</v>
      </c>
      <c r="C43" s="404">
        <f>IF(Table53[[#This Row],[Set Up QTY]]="", 0, setupPrice($A$33,Table53[[#This Row],[Description]]))</f>
        <v>0</v>
      </c>
      <c r="D43" s="392"/>
      <c r="E43" s="405"/>
      <c r="F43" s="404">
        <f>Table53[[#This Row],[Set Up QTY]]*Table53[[#This Row],[Setup Price]]+Table53[[#This Row],[Piece Qty]]*Table53[[#This Row],[Price Ea.]]</f>
        <v>0</v>
      </c>
    </row>
    <row r="44" spans="1:7" ht="30" customHeight="1" x14ac:dyDescent="0.25">
      <c r="A44" s="391" t="s">
        <v>751</v>
      </c>
      <c r="C44" s="404">
        <f>IF(Table53[[#This Row],[Set Up QTY]]="", 0, setupPrice($A$33,Table53[[#This Row],[Description]]))</f>
        <v>0</v>
      </c>
      <c r="D44" s="392"/>
      <c r="E44" s="405"/>
      <c r="F44" s="404">
        <f>Table53[[#This Row],[Set Up QTY]]*Table53[[#This Row],[Setup Price]]+Table53[[#This Row],[Piece Qty]]*Table53[[#This Row],[Price Ea.]]</f>
        <v>0</v>
      </c>
    </row>
    <row r="45" spans="1:7" ht="30" customHeight="1" x14ac:dyDescent="0.25">
      <c r="A45" s="391" t="s">
        <v>752</v>
      </c>
      <c r="C45" s="404">
        <f>IF(Table53[[#This Row],[Set Up QTY]]="", 0, setupPrice($A$33,Table53[[#This Row],[Description]]))</f>
        <v>0</v>
      </c>
      <c r="D45" s="392"/>
      <c r="E45" s="405"/>
      <c r="F45" s="404">
        <f>Table53[[#This Row],[Set Up QTY]]*Table53[[#This Row],[Setup Price]]+Table53[[#This Row],[Piece Qty]]*Table53[[#This Row],[Price Ea.]]</f>
        <v>0</v>
      </c>
    </row>
    <row r="46" spans="1:7" ht="30" customHeight="1" x14ac:dyDescent="0.25">
      <c r="A46" s="391" t="s">
        <v>753</v>
      </c>
      <c r="C46" s="404">
        <f>IF(Table53[[#This Row],[Set Up QTY]]="", 0, setupPrice($A$33,Table53[[#This Row],[Description]]))</f>
        <v>0</v>
      </c>
      <c r="D46" s="392"/>
      <c r="E46" s="405"/>
      <c r="F46" s="404">
        <f>Table53[[#This Row],[Set Up QTY]]*Table53[[#This Row],[Setup Price]]+Table53[[#This Row],[Piece Qty]]*Table53[[#This Row],[Price Ea.]]</f>
        <v>0</v>
      </c>
    </row>
    <row r="47" spans="1:7" ht="30" customHeight="1" x14ac:dyDescent="0.25">
      <c r="A47" s="391" t="s">
        <v>755</v>
      </c>
      <c r="C47" s="404">
        <f>IF(Table53[[#This Row],[Set Up QTY]]="", 0, setupPrice($A$33,Table53[[#This Row],[Description]]))</f>
        <v>0</v>
      </c>
      <c r="D47" s="392"/>
      <c r="E47" s="405"/>
      <c r="F47" s="404">
        <f>Table53[[#This Row],[Set Up QTY]]*Table53[[#This Row],[Setup Price]]+Table53[[#This Row],[Piece Qty]]*Table53[[#This Row],[Price Ea.]]</f>
        <v>0</v>
      </c>
    </row>
    <row r="48" spans="1:7" ht="30" customHeight="1" x14ac:dyDescent="0.25">
      <c r="A48" s="391" t="s">
        <v>756</v>
      </c>
      <c r="C48" s="404">
        <f>IF(Table53[[#This Row],[Set Up QTY]]="", 0, setupPrice($A$33,Table53[[#This Row],[Description]]))</f>
        <v>0</v>
      </c>
      <c r="D48" s="392"/>
      <c r="E48" s="405"/>
      <c r="F48" s="404">
        <f>Table53[[#This Row],[Set Up QTY]]*Table53[[#This Row],[Setup Price]]+Table53[[#This Row],[Piece Qty]]*Table53[[#This Row],[Price Ea.]]</f>
        <v>0</v>
      </c>
    </row>
    <row r="49" spans="1:6" ht="30" customHeight="1" x14ac:dyDescent="0.25">
      <c r="A49" s="391" t="s">
        <v>757</v>
      </c>
      <c r="C49" s="404">
        <f>IF(Table53[[#This Row],[Set Up QTY]]="", 0, setupPrice($A$33,Table53[[#This Row],[Description]]))</f>
        <v>0</v>
      </c>
      <c r="D49" s="392"/>
      <c r="E49" s="405"/>
      <c r="F49" s="404">
        <f>Table53[[#This Row],[Set Up QTY]]*Table53[[#This Row],[Setup Price]]+Table53[[#This Row],[Piece Qty]]*Table53[[#This Row],[Price Ea.]]</f>
        <v>0</v>
      </c>
    </row>
    <row r="50" spans="1:6" ht="30" customHeight="1" x14ac:dyDescent="0.25">
      <c r="A50" s="391" t="s">
        <v>758</v>
      </c>
      <c r="C50" s="404">
        <f>IF(Table53[[#This Row],[Set Up QTY]]="", 0, setupPrice($A$33,Table53[[#This Row],[Description]]))</f>
        <v>0</v>
      </c>
      <c r="D50" s="392"/>
      <c r="E50" s="405"/>
      <c r="F50" s="404">
        <f>Table53[[#This Row],[Set Up QTY]]*Table53[[#This Row],[Setup Price]]+Table53[[#This Row],[Piece Qty]]*Table53[[#This Row],[Price Ea.]]</f>
        <v>0</v>
      </c>
    </row>
    <row r="51" spans="1:6" ht="30" customHeight="1" x14ac:dyDescent="0.25">
      <c r="A51" s="391" t="s">
        <v>767</v>
      </c>
      <c r="C51" s="404">
        <f>IF(Table53[[#This Row],[Set Up QTY]]="", 0, setupPrice($A$33,Table53[[#This Row],[Description]]))</f>
        <v>0</v>
      </c>
      <c r="D51" s="392"/>
      <c r="E51" s="405"/>
      <c r="F51" s="404">
        <f>Table53[[#This Row],[Set Up QTY]]*Table53[[#This Row],[Setup Price]]+Table53[[#This Row],[Piece Qty]]*Table53[[#This Row],[Price Ea.]]</f>
        <v>0</v>
      </c>
    </row>
    <row r="52" spans="1:6" ht="30" customHeight="1" x14ac:dyDescent="0.25">
      <c r="A52" s="391" t="s">
        <v>764</v>
      </c>
      <c r="C52" s="404">
        <f>IF(Table53[[#This Row],[Set Up QTY]]="", 0, setupPrice($A$33,Table53[[#This Row],[Description]]))</f>
        <v>0</v>
      </c>
      <c r="D52" s="392"/>
      <c r="E52" s="405"/>
      <c r="F52" s="404">
        <f>Table53[[#This Row],[Set Up QTY]]*Table53[[#This Row],[Setup Price]]+Table53[[#This Row],[Piece Qty]]*Table53[[#This Row],[Price Ea.]]</f>
        <v>0</v>
      </c>
    </row>
    <row r="53" spans="1:6" ht="30" customHeight="1" x14ac:dyDescent="0.25">
      <c r="A53" s="391" t="s">
        <v>768</v>
      </c>
      <c r="C53" s="404">
        <f>IF(Table53[[#This Row],[Set Up QTY]]="", 0, setupPrice($A$33,Table53[[#This Row],[Description]]))</f>
        <v>0</v>
      </c>
      <c r="D53" s="392"/>
      <c r="E53" s="405"/>
      <c r="F53" s="404">
        <f>Table53[[#This Row],[Set Up QTY]]*Table53[[#This Row],[Setup Price]]+Table53[[#This Row],[Piece Qty]]*Table53[[#This Row],[Price Ea.]]</f>
        <v>0</v>
      </c>
    </row>
    <row r="54" spans="1:6" ht="30" customHeight="1" x14ac:dyDescent="0.25">
      <c r="A54" s="391" t="s">
        <v>765</v>
      </c>
      <c r="C54" s="404">
        <f>IF(Table53[[#This Row],[Set Up QTY]]="", 0, setupPrice($A$33,Table53[[#This Row],[Description]]))</f>
        <v>0</v>
      </c>
      <c r="D54" s="392"/>
      <c r="E54" s="405"/>
      <c r="F54" s="404">
        <f>Table53[[#This Row],[Set Up QTY]]*Table53[[#This Row],[Setup Price]]+Table53[[#This Row],[Piece Qty]]*Table53[[#This Row],[Price Ea.]]</f>
        <v>0</v>
      </c>
    </row>
    <row r="55" spans="1:6" ht="30" customHeight="1" x14ac:dyDescent="0.25">
      <c r="A55" s="391" t="s">
        <v>769</v>
      </c>
      <c r="C55" s="404">
        <f>IF(Table53[[#This Row],[Set Up QTY]]="", 0, setupPrice($A$33,Table53[[#This Row],[Description]]))</f>
        <v>0</v>
      </c>
      <c r="D55" s="392"/>
      <c r="E55" s="405"/>
      <c r="F55" s="404">
        <f>Table53[[#This Row],[Set Up QTY]]*Table53[[#This Row],[Setup Price]]+Table53[[#This Row],[Piece Qty]]*Table53[[#This Row],[Price Ea.]]</f>
        <v>0</v>
      </c>
    </row>
    <row r="56" spans="1:6" ht="30" customHeight="1" x14ac:dyDescent="0.25">
      <c r="A56" s="391" t="s">
        <v>759</v>
      </c>
      <c r="C56" s="404">
        <f>IF(Table53[[#This Row],[Set Up QTY]]="", 0, setupPrice($A$33,Table53[[#This Row],[Description]]))</f>
        <v>0</v>
      </c>
      <c r="D56" s="392"/>
      <c r="E56" s="405"/>
      <c r="F56" s="404">
        <f>Table53[[#This Row],[Set Up QTY]]*Table53[[#This Row],[Setup Price]]+Table53[[#This Row],[Piece Qty]]*Table53[[#This Row],[Price Ea.]]</f>
        <v>0</v>
      </c>
    </row>
    <row r="57" spans="1:6" ht="30" customHeight="1" x14ac:dyDescent="0.25">
      <c r="A57" s="391" t="s">
        <v>770</v>
      </c>
      <c r="C57" s="404">
        <f>IF(Table53[[#This Row],[Set Up QTY]]="", 0, setupPrice($A$33,Table53[[#This Row],[Description]]))</f>
        <v>0</v>
      </c>
      <c r="D57" s="392"/>
      <c r="E57" s="405"/>
      <c r="F57" s="404">
        <f>Table53[[#This Row],[Set Up QTY]]*Table53[[#This Row],[Setup Price]]+Table53[[#This Row],[Piece Qty]]*Table53[[#This Row],[Price Ea.]]</f>
        <v>0</v>
      </c>
    </row>
    <row r="58" spans="1:6" ht="30" customHeight="1" x14ac:dyDescent="0.25">
      <c r="A58" s="391" t="s">
        <v>760</v>
      </c>
      <c r="C58" s="404">
        <f>IF(Table53[[#This Row],[Set Up QTY]]="", 0, setupPrice($A$33,Table53[[#This Row],[Description]]))</f>
        <v>0</v>
      </c>
      <c r="D58" s="392"/>
      <c r="E58" s="405"/>
      <c r="F58" s="404">
        <f>Table53[[#This Row],[Set Up QTY]]*Table53[[#This Row],[Setup Price]]+Table53[[#This Row],[Piece Qty]]*Table53[[#This Row],[Price Ea.]]</f>
        <v>0</v>
      </c>
    </row>
    <row r="59" spans="1:6" ht="30" customHeight="1" x14ac:dyDescent="0.25">
      <c r="A59" s="391" t="s">
        <v>761</v>
      </c>
      <c r="C59" s="404">
        <f>IF(Table53[[#This Row],[Set Up QTY]]="", 0, setupPrice($A$33,Table53[[#This Row],[Description]]))</f>
        <v>0</v>
      </c>
      <c r="D59" s="392"/>
      <c r="E59" s="405"/>
      <c r="F59" s="404">
        <f>Table53[[#This Row],[Set Up QTY]]*Table53[[#This Row],[Setup Price]]+Table53[[#This Row],[Piece Qty]]*Table53[[#This Row],[Price Ea.]]</f>
        <v>0</v>
      </c>
    </row>
    <row r="60" spans="1:6" ht="30" customHeight="1" x14ac:dyDescent="0.25">
      <c r="A60" s="391" t="s">
        <v>771</v>
      </c>
      <c r="C60" s="404">
        <f>IF(Table53[[#This Row],[Set Up QTY]]="", 0, setupPrice($A$33,Table53[[#This Row],[Description]]))</f>
        <v>0</v>
      </c>
      <c r="D60" s="392"/>
      <c r="E60" s="405"/>
      <c r="F60" s="404">
        <f>Table53[[#This Row],[Set Up QTY]]*Table53[[#This Row],[Setup Price]]+Table53[[#This Row],[Piece Qty]]*Table53[[#This Row],[Price Ea.]]</f>
        <v>0</v>
      </c>
    </row>
    <row r="61" spans="1:6" ht="30" customHeight="1" x14ac:dyDescent="0.25">
      <c r="A61" s="391" t="s">
        <v>762</v>
      </c>
      <c r="C61" s="404">
        <f>IF(Table53[[#This Row],[Set Up QTY]]="", 0, setupPrice($A$33,Table53[[#This Row],[Description]]))</f>
        <v>0</v>
      </c>
      <c r="D61" s="392"/>
      <c r="E61" s="405"/>
      <c r="F61" s="404">
        <f>Table53[[#This Row],[Set Up QTY]]*Table53[[#This Row],[Setup Price]]+Table53[[#This Row],[Piece Qty]]*Table53[[#This Row],[Price Ea.]]</f>
        <v>0</v>
      </c>
    </row>
    <row r="62" spans="1:6" ht="30" customHeight="1" x14ac:dyDescent="0.25">
      <c r="A62" s="391" t="s">
        <v>772</v>
      </c>
      <c r="C62" s="404">
        <f>IF(Table53[[#This Row],[Set Up QTY]]="", 0, setupPrice($A$33,Table53[[#This Row],[Description]]))</f>
        <v>0</v>
      </c>
      <c r="D62" s="392"/>
      <c r="E62" s="405"/>
      <c r="F62" s="404">
        <f>Table53[[#This Row],[Set Up QTY]]*Table53[[#This Row],[Setup Price]]+Table53[[#This Row],[Piece Qty]]*Table53[[#This Row],[Price Ea.]]</f>
        <v>0</v>
      </c>
    </row>
    <row r="63" spans="1:6" ht="30" customHeight="1" x14ac:dyDescent="0.25">
      <c r="A63" s="391" t="s">
        <v>773</v>
      </c>
      <c r="C63" s="404">
        <f>IF(Table53[[#This Row],[Set Up QTY]]="", 0, setupPrice($A$33,Table53[[#This Row],[Description]]))</f>
        <v>0</v>
      </c>
      <c r="D63" s="392"/>
      <c r="E63" s="405"/>
      <c r="F63" s="404">
        <f>Table53[[#This Row],[Set Up QTY]]*Table53[[#This Row],[Setup Price]]+Table53[[#This Row],[Piece Qty]]*Table53[[#This Row],[Price Ea.]]</f>
        <v>0</v>
      </c>
    </row>
    <row r="64" spans="1:6" ht="30" customHeight="1" x14ac:dyDescent="0.25">
      <c r="A64" s="391" t="s">
        <v>774</v>
      </c>
      <c r="C64" s="404">
        <f>IF(Table53[[#This Row],[Set Up QTY]]="", 0, setupPrice($A$33,Table53[[#This Row],[Description]]))</f>
        <v>0</v>
      </c>
      <c r="D64" s="392"/>
      <c r="E64" s="405"/>
      <c r="F64" s="404">
        <f>Table53[[#This Row],[Set Up QTY]]*Table53[[#This Row],[Setup Price]]+Table53[[#This Row],[Piece Qty]]*Table53[[#This Row],[Price Ea.]]</f>
        <v>0</v>
      </c>
    </row>
    <row r="65" spans="1:6" ht="30" customHeight="1" x14ac:dyDescent="0.25">
      <c r="A65" s="391" t="s">
        <v>775</v>
      </c>
      <c r="C65" s="404">
        <f>IF(Table53[[#This Row],[Set Up QTY]]="", 0, setupPrice($A$33,Table53[[#This Row],[Description]]))</f>
        <v>0</v>
      </c>
      <c r="D65" s="392"/>
      <c r="E65" s="405"/>
      <c r="F65" s="404">
        <f>Table53[[#This Row],[Set Up QTY]]*Table53[[#This Row],[Setup Price]]+Table53[[#This Row],[Piece Qty]]*Table53[[#This Row],[Price Ea.]]</f>
        <v>0</v>
      </c>
    </row>
    <row r="66" spans="1:6" ht="30" customHeight="1" x14ac:dyDescent="0.25">
      <c r="A66" s="391" t="s">
        <v>777</v>
      </c>
      <c r="C66" s="404">
        <f>IF(Table53[[#This Row],[Set Up QTY]]="", 0, setupPrice($A$33,Table53[[#This Row],[Description]]))</f>
        <v>0</v>
      </c>
      <c r="D66" s="392"/>
      <c r="E66" s="405"/>
      <c r="F66" s="404">
        <f>Table53[[#This Row],[Set Up QTY]]*Table53[[#This Row],[Setup Price]]+Table53[[#This Row],[Piece Qty]]*Table53[[#This Row],[Price Ea.]]</f>
        <v>0</v>
      </c>
    </row>
    <row r="67" spans="1:6" ht="30" customHeight="1" x14ac:dyDescent="0.25">
      <c r="A67" s="391" t="s">
        <v>776</v>
      </c>
      <c r="C67" s="404">
        <f>IF(Table53[[#This Row],[Set Up QTY]]="", 0, setupPrice($A$33,Table53[[#This Row],[Description]]))</f>
        <v>0</v>
      </c>
      <c r="D67" s="392"/>
      <c r="E67" s="405"/>
      <c r="F67" s="404">
        <f>Table53[[#This Row],[Set Up QTY]]*Table53[[#This Row],[Setup Price]]+Table53[[#This Row],[Piece Qty]]*Table53[[#This Row],[Price Ea.]]</f>
        <v>0</v>
      </c>
    </row>
    <row r="68" spans="1:6" ht="30" customHeight="1" x14ac:dyDescent="0.25">
      <c r="A68" s="391" t="s">
        <v>778</v>
      </c>
      <c r="C68" s="404">
        <f>IF(Table53[[#This Row],[Set Up QTY]]="", 0, setupPrice($A$33,Table53[[#This Row],[Description]]))</f>
        <v>0</v>
      </c>
      <c r="D68" s="392"/>
      <c r="E68" s="405"/>
      <c r="F68" s="404">
        <f>Table53[[#This Row],[Set Up QTY]]*Table53[[#This Row],[Setup Price]]+Table53[[#This Row],[Piece Qty]]*Table53[[#This Row],[Price Ea.]]</f>
        <v>0</v>
      </c>
    </row>
    <row r="69" spans="1:6" ht="30" customHeight="1" x14ac:dyDescent="0.25">
      <c r="A69" s="391" t="s">
        <v>779</v>
      </c>
      <c r="C69" s="404">
        <f>IF(Table53[[#This Row],[Set Up QTY]]="", 0, setupPrice($A$33,Table53[[#This Row],[Description]]))</f>
        <v>0</v>
      </c>
      <c r="D69" s="392"/>
      <c r="E69" s="405"/>
      <c r="F69" s="404">
        <f>Table53[[#This Row],[Set Up QTY]]*Table53[[#This Row],[Setup Price]]+Table53[[#This Row],[Piece Qty]]*Table53[[#This Row],[Price Ea.]]</f>
        <v>0</v>
      </c>
    </row>
    <row r="70" spans="1:6" ht="30" customHeight="1" x14ac:dyDescent="0.25">
      <c r="A70" s="391" t="s">
        <v>398</v>
      </c>
      <c r="C70" s="404">
        <f>IF(Table53[[#This Row],[Set Up QTY]]="", 0, setupPrice($A$33,Table53[[#This Row],[Description]]))</f>
        <v>0</v>
      </c>
      <c r="D70" s="392"/>
      <c r="E70" s="405"/>
      <c r="F70" s="404">
        <f>Table53[[#This Row],[Set Up QTY]]*Table53[[#This Row],[Setup Price]]+Table53[[#This Row],[Piece Qty]]*Table53[[#This Row],[Price Ea.]]</f>
        <v>0</v>
      </c>
    </row>
    <row r="71" spans="1:6" ht="30" customHeight="1" x14ac:dyDescent="0.25">
      <c r="A71" s="391" t="s">
        <v>763</v>
      </c>
      <c r="C71" s="404">
        <f>IF(Table53[[#This Row],[Set Up QTY]]="", 0, setupPrice($A$33,Table53[[#This Row],[Description]]))</f>
        <v>0</v>
      </c>
      <c r="D71" s="392"/>
      <c r="E71" s="405"/>
      <c r="F71" s="404">
        <f>Table53[[#This Row],[Set Up QTY]]*Table53[[#This Row],[Setup Price]]+Table53[[#This Row],[Piece Qty]]*Table53[[#This Row],[Price Ea.]]</f>
        <v>0</v>
      </c>
    </row>
    <row r="73" spans="1:6" s="413" customFormat="1" x14ac:dyDescent="0.25">
      <c r="A73" s="407" t="s">
        <v>233</v>
      </c>
      <c r="B73" s="408" t="s">
        <v>562</v>
      </c>
      <c r="C73" s="408" t="s">
        <v>559</v>
      </c>
      <c r="D73" s="408" t="s">
        <v>560</v>
      </c>
      <c r="E73" s="408" t="s">
        <v>561</v>
      </c>
      <c r="F73" s="408" t="s">
        <v>555</v>
      </c>
    </row>
    <row r="74" spans="1:6" ht="30" customHeight="1" x14ac:dyDescent="0.25">
      <c r="A74" s="391" t="s">
        <v>241</v>
      </c>
      <c r="B74" s="392"/>
      <c r="C74" s="405"/>
      <c r="D74" s="64"/>
      <c r="E74" s="416">
        <f>IF(Table20[[#This Row],[Piece Qty]]="", 0, perPiecePrice($A$33,Table20[[#This Row],[Description]],Table20[[#This Row],[Piece Qty]]))</f>
        <v>0</v>
      </c>
      <c r="F74" s="404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5" spans="1:6" ht="30" customHeight="1" x14ac:dyDescent="0.25">
      <c r="A75" s="391" t="s">
        <v>780</v>
      </c>
      <c r="B75" s="392"/>
      <c r="C75" s="405"/>
      <c r="E75" s="404">
        <f>IF(Table20[[#This Row],[Piece Qty]]="", 0, perPiecePrice($A$33,Table20[[#This Row],[Description]],Table20[[#This Row],[Piece Qty]]))</f>
        <v>0</v>
      </c>
      <c r="F75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6" spans="1:6" ht="30" customHeight="1" x14ac:dyDescent="0.25">
      <c r="A76" s="391" t="s">
        <v>781</v>
      </c>
      <c r="B76" s="392"/>
      <c r="C76" s="405"/>
      <c r="E76" s="404">
        <f>IF(Table20[[#This Row],[Piece Qty]]="", 0, perPiecePrice($A$33,Table20[[#This Row],[Description]],Table20[[#This Row],[Piece Qty]]))</f>
        <v>0</v>
      </c>
      <c r="F76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7" spans="1:6" ht="30" customHeight="1" x14ac:dyDescent="0.25">
      <c r="A77" s="391" t="s">
        <v>246</v>
      </c>
      <c r="B77" s="392"/>
      <c r="C77" s="405"/>
      <c r="E77" s="404">
        <f>IF(Table20[[#This Row],[Piece Qty]]="", 0, perPiecePrice($A$33,Table20[[#This Row],[Description]],Table20[[#This Row],[Piece Qty]]))</f>
        <v>0</v>
      </c>
      <c r="F77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8" spans="1:6" ht="30" customHeight="1" x14ac:dyDescent="0.25">
      <c r="A78" s="391" t="s">
        <v>782</v>
      </c>
      <c r="B78" s="392"/>
      <c r="C78" s="405"/>
      <c r="E78" s="404">
        <f>IF(Table20[[#This Row],[Piece Qty]]="", 0, perPiecePrice($A$33,Table20[[#This Row],[Description]],Table20[[#This Row],[Piece Qty]]))</f>
        <v>0</v>
      </c>
      <c r="F78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79" spans="1:6" ht="30" customHeight="1" x14ac:dyDescent="0.25">
      <c r="A79" s="391" t="s">
        <v>783</v>
      </c>
      <c r="B79" s="392"/>
      <c r="C79" s="405"/>
      <c r="E79" s="404">
        <f>IF(Table20[[#This Row],[Piece Qty]]="", 0, perPiecePrice($A$33,Table20[[#This Row],[Description]],Table20[[#This Row],[Piece Qty]]))</f>
        <v>0</v>
      </c>
      <c r="F79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0" spans="1:6" ht="30" customHeight="1" x14ac:dyDescent="0.25">
      <c r="A80" s="391" t="s">
        <v>784</v>
      </c>
      <c r="B80" s="392"/>
      <c r="C80" s="405"/>
      <c r="E80" s="404">
        <f>IF(Table20[[#This Row],[Piece Qty]]="", 0, perPiecePrice($A$33,Table20[[#This Row],[Description]],Table20[[#This Row],[Piece Qty]]))</f>
        <v>0</v>
      </c>
      <c r="F80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1" spans="1:6" ht="30" customHeight="1" x14ac:dyDescent="0.25">
      <c r="A81" s="391" t="s">
        <v>785</v>
      </c>
      <c r="B81" s="392"/>
      <c r="C81" s="405"/>
      <c r="E81" s="404">
        <f>IF(Table20[[#This Row],[Piece Qty]]="", 0, perPiecePrice($A$33,Table20[[#This Row],[Description]],Table20[[#This Row],[Piece Qty]]))</f>
        <v>0</v>
      </c>
      <c r="F81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2" spans="1:6" ht="30" customHeight="1" x14ac:dyDescent="0.25">
      <c r="A82" s="391" t="s">
        <v>786</v>
      </c>
      <c r="B82" s="392"/>
      <c r="C82" s="405"/>
      <c r="E82" s="404">
        <f>IF(Table20[[#This Row],[Piece Qty]]="", 0, perPiecePrice($A$33,Table20[[#This Row],[Description]],Table20[[#This Row],[Piece Qty]]))</f>
        <v>0</v>
      </c>
      <c r="F82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3" spans="1:6" ht="30" customHeight="1" x14ac:dyDescent="0.25">
      <c r="A83" s="391" t="s">
        <v>787</v>
      </c>
      <c r="B83" s="392"/>
      <c r="C83" s="405"/>
      <c r="E83" s="404">
        <f>IF(Table20[[#This Row],[Piece Qty]]="", 0, perPiecePrice($A$33,Table20[[#This Row],[Description]],Table20[[#This Row],[Piece Qty]]))</f>
        <v>0</v>
      </c>
      <c r="F83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4" spans="1:6" ht="30" customHeight="1" x14ac:dyDescent="0.25">
      <c r="A84" s="391" t="s">
        <v>788</v>
      </c>
      <c r="B84" s="392"/>
      <c r="C84" s="405"/>
      <c r="E84" s="404">
        <f>IF(Table20[[#This Row],[Piece Qty]]="", 0, perPiecePrice($A$33,Table20[[#This Row],[Description]],Table20[[#This Row],[Piece Qty]]))</f>
        <v>0</v>
      </c>
      <c r="F84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5" spans="1:6" ht="30" customHeight="1" x14ac:dyDescent="0.25">
      <c r="A85" s="391" t="s">
        <v>789</v>
      </c>
      <c r="B85" s="392"/>
      <c r="C85" s="405"/>
      <c r="E85" s="404">
        <f>IF(Table20[[#This Row],[Piece Qty]]="", 0, perPiecePrice($A$33,Table20[[#This Row],[Description]],Table20[[#This Row],[Piece Qty]]))</f>
        <v>0</v>
      </c>
      <c r="F85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6" spans="1:6" ht="30" customHeight="1" x14ac:dyDescent="0.25">
      <c r="A86" s="391" t="s">
        <v>790</v>
      </c>
      <c r="B86" s="392"/>
      <c r="C86" s="405"/>
      <c r="E86" s="404">
        <f>IF(Table20[[#This Row],[Piece Qty]]="", 0, perPiecePrice($A$33,Table20[[#This Row],[Description]],Table20[[#This Row],[Piece Qty]]))</f>
        <v>0</v>
      </c>
      <c r="F86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7" spans="1:6" ht="30" customHeight="1" x14ac:dyDescent="0.25">
      <c r="A87" s="391" t="s">
        <v>791</v>
      </c>
      <c r="B87" s="392"/>
      <c r="C87" s="405"/>
      <c r="E87" s="404">
        <f>IF(Table20[[#This Row],[Piece Qty]]="", 0, perPiecePrice($A$33,Table20[[#This Row],[Description]],Table20[[#This Row],[Piece Qty]]))</f>
        <v>0</v>
      </c>
      <c r="F87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88" spans="1:6" ht="30" customHeight="1" x14ac:dyDescent="0.25">
      <c r="A88" s="391" t="s">
        <v>792</v>
      </c>
      <c r="B88" s="392"/>
      <c r="C88" s="405"/>
      <c r="E88" s="404">
        <f>IF(Table20[[#This Row],[Piece Qty]]="", 0, perPiecePrice($A$33,Table20[[#This Row],[Description]],Table20[[#This Row],[Piece Qty]]))</f>
        <v>0</v>
      </c>
      <c r="F88" s="406">
        <f>Table20[[#This Row],[Set Up QTY]]*Table20[[#This Row],[Setup Price]]+IF(Table20[[#This Row],[Price Ea.]]&gt;1,Table20[[#This Row],[Price Ea.]],Table20[[#This Row],[Piece Qty]]*Table20[[#This Row],[Price Ea.]])</f>
        <v>0</v>
      </c>
    </row>
    <row r="90" spans="1:6" x14ac:dyDescent="0.25">
      <c r="A90" s="390" t="s">
        <v>898</v>
      </c>
      <c r="B90" s="175"/>
      <c r="C90" s="403"/>
      <c r="D90" s="175"/>
      <c r="E90" s="403"/>
      <c r="F90" s="403"/>
    </row>
    <row r="91" spans="1:6" s="413" customFormat="1" ht="15.75" thickBot="1" x14ac:dyDescent="0.3">
      <c r="A91" s="410" t="s">
        <v>233</v>
      </c>
      <c r="B91" s="411" t="s">
        <v>562</v>
      </c>
      <c r="C91" s="411" t="s">
        <v>559</v>
      </c>
      <c r="D91" s="411" t="s">
        <v>560</v>
      </c>
      <c r="E91" s="411" t="s">
        <v>561</v>
      </c>
      <c r="F91" s="412" t="s">
        <v>555</v>
      </c>
    </row>
    <row r="92" spans="1:6" ht="30" customHeight="1" thickTop="1" x14ac:dyDescent="0.25">
      <c r="A92" s="391" t="s">
        <v>793</v>
      </c>
      <c r="C92" s="404">
        <f>IF(Table54[[#This Row],[Set Up QTY]]="", 0, setupPrice($A$90,Table54[[#This Row],[Description]]))</f>
        <v>0</v>
      </c>
      <c r="D92" s="392"/>
      <c r="E92" s="405"/>
      <c r="F92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3" spans="1:6" ht="30" customHeight="1" x14ac:dyDescent="0.25">
      <c r="A93" s="391" t="s">
        <v>794</v>
      </c>
      <c r="C93" s="406">
        <f>IF(Table54[[#This Row],[Set Up QTY]]="", 0, setupPrice($A$90,Table54[[#This Row],[Description]]))</f>
        <v>0</v>
      </c>
      <c r="D93" s="392"/>
      <c r="E93" s="405"/>
      <c r="F93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4" spans="1:6" ht="30" customHeight="1" x14ac:dyDescent="0.25">
      <c r="A94" s="391" t="s">
        <v>759</v>
      </c>
      <c r="C94" s="406">
        <f>IF(Table54[[#This Row],[Set Up QTY]]="", 0, setupPrice($A$90,Table54[[#This Row],[Description]]))</f>
        <v>0</v>
      </c>
      <c r="D94" s="392"/>
      <c r="E94" s="405"/>
      <c r="F94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5" spans="1:6" ht="30" customHeight="1" x14ac:dyDescent="0.25">
      <c r="A95" s="391" t="s">
        <v>795</v>
      </c>
      <c r="C95" s="406">
        <f>IF(Table54[[#This Row],[Set Up QTY]]="", 0, setupPrice($A$90,Table54[[#This Row],[Description]]))</f>
        <v>0</v>
      </c>
      <c r="D95" s="392"/>
      <c r="E95" s="405"/>
      <c r="F95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6" spans="1:6" ht="30" customHeight="1" x14ac:dyDescent="0.25">
      <c r="A96" s="391" t="s">
        <v>796</v>
      </c>
      <c r="C96" s="406">
        <f>IF(Table54[[#This Row],[Set Up QTY]]="", 0, setupPrice($A$90,Table54[[#This Row],[Description]]))</f>
        <v>0</v>
      </c>
      <c r="D96" s="392"/>
      <c r="E96" s="405"/>
      <c r="F96" s="404">
        <f>Table54[[#This Row],[Set Up QTY]]*Table54[[#This Row],[Setup Price]]+IF(Table54[[#This Row],[Price Ea.]]&gt;1,Table54[[#This Row],[Price Ea.]],Table54[[#This Row],[Piece Qty]]*Table54[[#This Row],[Price Ea.]])</f>
        <v>0</v>
      </c>
    </row>
    <row r="98" spans="1:6" x14ac:dyDescent="0.25">
      <c r="A98" s="390" t="s">
        <v>899</v>
      </c>
      <c r="B98" s="175"/>
      <c r="C98" s="403"/>
      <c r="D98" s="175"/>
      <c r="E98" s="403"/>
      <c r="F98" s="403"/>
    </row>
    <row r="99" spans="1:6" s="413" customFormat="1" ht="15.75" thickBot="1" x14ac:dyDescent="0.3">
      <c r="A99" s="410" t="s">
        <v>233</v>
      </c>
      <c r="B99" s="411" t="s">
        <v>562</v>
      </c>
      <c r="C99" s="411" t="s">
        <v>559</v>
      </c>
      <c r="D99" s="411" t="s">
        <v>560</v>
      </c>
      <c r="E99" s="411" t="s">
        <v>561</v>
      </c>
      <c r="F99" s="412" t="s">
        <v>555</v>
      </c>
    </row>
    <row r="100" spans="1:6" ht="30" customHeight="1" thickTop="1" x14ac:dyDescent="0.25">
      <c r="A100" s="391" t="s">
        <v>797</v>
      </c>
      <c r="C100" s="404">
        <f>IF(Table5457[[#This Row],[Set Up QTY]]="", 0, setupPrice($A$98,Table5457[[#This Row],[Description]]))</f>
        <v>0</v>
      </c>
      <c r="E100" s="417">
        <f>IF(Table5457[[#This Row],[Piece Qty]]="", 0, perPiecePrice($A$98,Table5457[[#This Row],[Description]],Table5457[[#This Row],[Piece Qty]]))</f>
        <v>0</v>
      </c>
      <c r="F100" s="406">
        <f>Table5457[[#This Row],[Set Up QTY]]*Table5457[[#This Row],[Setup Price]]+Table5457[[#This Row],[Piece Qty]]*Table5457[[#This Row],[Price Ea.]]</f>
        <v>0</v>
      </c>
    </row>
    <row r="101" spans="1:6" ht="30" customHeight="1" x14ac:dyDescent="0.25">
      <c r="A101" s="391" t="s">
        <v>798</v>
      </c>
      <c r="C101" s="404">
        <f>IF(Table5457[[#This Row],[Set Up QTY]]="", 0, setupPrice($A$98,Table5457[[#This Row],[Description]]))</f>
        <v>0</v>
      </c>
      <c r="E101" s="406">
        <f>IF(Table5457[[#This Row],[Piece Qty]]="", 0, perPiecePrice($A$98,Table5457[[#This Row],[Description]],Table5457[[#This Row],[Piece Qty]]))</f>
        <v>0</v>
      </c>
      <c r="F101" s="406">
        <f>Table5457[[#This Row],[Set Up QTY]]*Table5457[[#This Row],[Setup Price]]+Table5457[[#This Row],[Piece Qty]]*Table5457[[#This Row],[Price Ea.]]</f>
        <v>0</v>
      </c>
    </row>
    <row r="102" spans="1:6" ht="30" customHeight="1" x14ac:dyDescent="0.25">
      <c r="A102" s="391" t="s">
        <v>799</v>
      </c>
      <c r="C102" s="404">
        <f>IF(Table5457[[#This Row],[Set Up QTY]]="", 0, setupPrice($A$98,Table5457[[#This Row],[Description]]))</f>
        <v>0</v>
      </c>
      <c r="E102" s="406">
        <f>IF(Table5457[[#This Row],[Piece Qty]]="", 0, perPiecePrice($A$98,Table5457[[#This Row],[Description]],Table5457[[#This Row],[Piece Qty]]))</f>
        <v>0</v>
      </c>
      <c r="F102" s="406">
        <f>Table5457[[#This Row],[Set Up QTY]]*Table5457[[#This Row],[Setup Price]]+Table5457[[#This Row],[Piece Qty]]*Table5457[[#This Row],[Price Ea.]]</f>
        <v>0</v>
      </c>
    </row>
    <row r="103" spans="1:6" ht="30" customHeight="1" x14ac:dyDescent="0.25">
      <c r="A103" s="391" t="s">
        <v>800</v>
      </c>
      <c r="C103" s="404">
        <f>IF(Table5457[[#This Row],[Set Up QTY]]="", 0, setupPrice($A$98,Table5457[[#This Row],[Description]]))</f>
        <v>0</v>
      </c>
      <c r="E103" s="406">
        <f>IF(Table5457[[#This Row],[Piece Qty]]="", 0, perPiecePrice($A$98,Table5457[[#This Row],[Description]],Table5457[[#This Row],[Piece Qty]]))</f>
        <v>0</v>
      </c>
      <c r="F103" s="406">
        <f>Table5457[[#This Row],[Set Up QTY]]*Table5457[[#This Row],[Setup Price]]+Table5457[[#This Row],[Piece Qty]]*Table5457[[#This Row],[Price Ea.]]</f>
        <v>0</v>
      </c>
    </row>
    <row r="104" spans="1:6" ht="30" customHeight="1" x14ac:dyDescent="0.25">
      <c r="A104" s="391" t="s">
        <v>801</v>
      </c>
      <c r="C104" s="404">
        <f>IF(Table5457[[#This Row],[Set Up QTY]]="", 0, setupPrice($A$98,Table5457[[#This Row],[Description]]))</f>
        <v>0</v>
      </c>
      <c r="E104" s="406">
        <f>IF(Table5457[[#This Row],[Piece Qty]]="", 0, perPiecePrice($A$98,Table5457[[#This Row],[Description]],Table5457[[#This Row],[Piece Qty]]))</f>
        <v>0</v>
      </c>
      <c r="F104" s="406">
        <f>Table5457[[#This Row],[Set Up QTY]]*Table5457[[#This Row],[Setup Price]]+Table5457[[#This Row],[Piece Qty]]*Table5457[[#This Row],[Price Ea.]]</f>
        <v>0</v>
      </c>
    </row>
    <row r="105" spans="1:6" ht="30" customHeight="1" x14ac:dyDescent="0.25">
      <c r="A105" s="391" t="s">
        <v>802</v>
      </c>
      <c r="C105" s="404">
        <f>IF(Table5457[[#This Row],[Set Up QTY]]="", 0, setupPrice($A$98,Table5457[[#This Row],[Description]]))</f>
        <v>0</v>
      </c>
      <c r="E105" s="406">
        <f>IF(Table5457[[#This Row],[Piece Qty]]="", 0, perPiecePrice($A$98,Table5457[[#This Row],[Description]],Table5457[[#This Row],[Piece Qty]]))</f>
        <v>0</v>
      </c>
      <c r="F105" s="406">
        <f>Table5457[[#This Row],[Set Up QTY]]*Table5457[[#This Row],[Setup Price]]+Table5457[[#This Row],[Piece Qty]]*Table5457[[#This Row],[Price Ea.]]</f>
        <v>0</v>
      </c>
    </row>
    <row r="106" spans="1:6" ht="30" customHeight="1" x14ac:dyDescent="0.25">
      <c r="A106" s="391" t="s">
        <v>803</v>
      </c>
      <c r="C106" s="404">
        <f>IF(Table5457[[#This Row],[Set Up QTY]]="", 0, setupPrice($A$98,Table5457[[#This Row],[Description]]))</f>
        <v>0</v>
      </c>
      <c r="E106" s="406">
        <f>IF(Table5457[[#This Row],[Piece Qty]]="", 0, perPiecePrice($A$98,Table5457[[#This Row],[Description]],Table5457[[#This Row],[Piece Qty]]))</f>
        <v>0</v>
      </c>
      <c r="F106" s="406">
        <f>Table5457[[#This Row],[Set Up QTY]]*Table5457[[#This Row],[Setup Price]]+Table5457[[#This Row],[Piece Qty]]*Table5457[[#This Row],[Price Ea.]]</f>
        <v>0</v>
      </c>
    </row>
    <row r="107" spans="1:6" ht="30" customHeight="1" x14ac:dyDescent="0.25">
      <c r="A107" s="391" t="s">
        <v>804</v>
      </c>
      <c r="C107" s="404">
        <f>IF(Table5457[[#This Row],[Set Up QTY]]="", 0, setupPrice($A$98,Table5457[[#This Row],[Description]]))</f>
        <v>0</v>
      </c>
      <c r="E107" s="406">
        <f>IF(Table5457[[#This Row],[Piece Qty]]="", 0, perPiecePrice($A$98,Table5457[[#This Row],[Description]],Table5457[[#This Row],[Piece Qty]]))</f>
        <v>0</v>
      </c>
      <c r="F107" s="406">
        <f>Table5457[[#This Row],[Set Up QTY]]*Table5457[[#This Row],[Setup Price]]+Table5457[[#This Row],[Piece Qty]]*Table5457[[#This Row],[Price Ea.]]</f>
        <v>0</v>
      </c>
    </row>
    <row r="108" spans="1:6" ht="30" customHeight="1" x14ac:dyDescent="0.25">
      <c r="A108" s="391" t="s">
        <v>805</v>
      </c>
      <c r="C108" s="404">
        <f>IF(Table5457[[#This Row],[Set Up QTY]]="", 0, setupPrice($A$98,Table5457[[#This Row],[Description]]))</f>
        <v>0</v>
      </c>
      <c r="E108" s="406">
        <f>IF(Table5457[[#This Row],[Piece Qty]]="", 0, perPiecePrice($A$98,Table5457[[#This Row],[Description]],Table5457[[#This Row],[Piece Qty]]))</f>
        <v>0</v>
      </c>
      <c r="F108" s="406">
        <f>Table5457[[#This Row],[Set Up QTY]]*Table5457[[#This Row],[Setup Price]]+Table5457[[#This Row],[Piece Qty]]*Table5457[[#This Row],[Price Ea.]]</f>
        <v>0</v>
      </c>
    </row>
    <row r="109" spans="1:6" ht="30" customHeight="1" x14ac:dyDescent="0.25">
      <c r="A109" s="391" t="s">
        <v>806</v>
      </c>
      <c r="C109" s="404">
        <f>IF(Table5457[[#This Row],[Set Up QTY]]="", 0, setupPrice($A$98,Table5457[[#This Row],[Description]]))</f>
        <v>0</v>
      </c>
      <c r="E109" s="406">
        <f>IF(Table5457[[#This Row],[Piece Qty]]="", 0, perPiecePrice($A$98,Table5457[[#This Row],[Description]],Table5457[[#This Row],[Piece Qty]]))</f>
        <v>0</v>
      </c>
      <c r="F109" s="406">
        <f>Table5457[[#This Row],[Set Up QTY]]*Table5457[[#This Row],[Setup Price]]+Table5457[[#This Row],[Piece Qty]]*Table5457[[#This Row],[Price Ea.]]</f>
        <v>0</v>
      </c>
    </row>
    <row r="110" spans="1:6" ht="30" customHeight="1" x14ac:dyDescent="0.25">
      <c r="A110" s="391" t="s">
        <v>807</v>
      </c>
      <c r="C110" s="404">
        <f>IF(Table5457[[#This Row],[Set Up QTY]]="", 0, setupPrice($A$98,Table5457[[#This Row],[Description]]))</f>
        <v>0</v>
      </c>
      <c r="E110" s="406">
        <f>IF(Table5457[[#This Row],[Piece Qty]]="", 0, perPiecePrice($A$98,Table5457[[#This Row],[Description]],Table5457[[#This Row],[Piece Qty]]))</f>
        <v>0</v>
      </c>
      <c r="F110" s="406">
        <f>Table5457[[#This Row],[Set Up QTY]]*Table5457[[#This Row],[Setup Price]]+Table5457[[#This Row],[Piece Qty]]*Table5457[[#This Row],[Price Ea.]]</f>
        <v>0</v>
      </c>
    </row>
    <row r="111" spans="1:6" ht="30" customHeight="1" x14ac:dyDescent="0.25">
      <c r="A111" s="391" t="s">
        <v>808</v>
      </c>
      <c r="C111" s="404">
        <f>IF(Table5457[[#This Row],[Set Up QTY]]="", 0, setupPrice($A$98,Table5457[[#This Row],[Description]]))</f>
        <v>0</v>
      </c>
      <c r="E111" s="406">
        <f>IF(Table5457[[#This Row],[Piece Qty]]="", 0, perPiecePrice($A$98,Table5457[[#This Row],[Description]],Table5457[[#This Row],[Piece Qty]]))</f>
        <v>0</v>
      </c>
      <c r="F111" s="406">
        <f>Table5457[[#This Row],[Set Up QTY]]*Table5457[[#This Row],[Setup Price]]+Table5457[[#This Row],[Piece Qty]]*Table5457[[#This Row],[Price Ea.]]</f>
        <v>0</v>
      </c>
    </row>
    <row r="112" spans="1:6" ht="30" customHeight="1" x14ac:dyDescent="0.25">
      <c r="A112" s="391" t="s">
        <v>809</v>
      </c>
      <c r="C112" s="404">
        <f>IF(Table5457[[#This Row],[Set Up QTY]]="", 0, setupPrice($A$98,Table5457[[#This Row],[Description]]))</f>
        <v>0</v>
      </c>
      <c r="E112" s="406">
        <f>IF(Table5457[[#This Row],[Piece Qty]]="", 0, perPiecePrice($A$98,Table5457[[#This Row],[Description]],Table5457[[#This Row],[Piece Qty]]))</f>
        <v>0</v>
      </c>
      <c r="F112" s="406">
        <f>Table5457[[#This Row],[Set Up QTY]]*Table5457[[#This Row],[Setup Price]]+Table5457[[#This Row],[Piece Qty]]*Table5457[[#This Row],[Price Ea.]]</f>
        <v>0</v>
      </c>
    </row>
    <row r="113" spans="1:6" ht="30" customHeight="1" x14ac:dyDescent="0.25">
      <c r="A113" s="391" t="s">
        <v>810</v>
      </c>
      <c r="C113" s="404">
        <f>IF(Table5457[[#This Row],[Set Up QTY]]="", 0, setupPrice($A$98,Table5457[[#This Row],[Description]]))</f>
        <v>0</v>
      </c>
      <c r="E113" s="406">
        <f>IF(Table5457[[#This Row],[Piece Qty]]="", 0, perPiecePrice($A$98,Table5457[[#This Row],[Description]],Table5457[[#This Row],[Piece Qty]]))</f>
        <v>0</v>
      </c>
      <c r="F113" s="406">
        <f>Table5457[[#This Row],[Set Up QTY]]*Table5457[[#This Row],[Setup Price]]+Table5457[[#This Row],[Piece Qty]]*Table5457[[#This Row],[Price Ea.]]</f>
        <v>0</v>
      </c>
    </row>
    <row r="114" spans="1:6" ht="30" customHeight="1" x14ac:dyDescent="0.25">
      <c r="A114" s="391" t="s">
        <v>811</v>
      </c>
      <c r="C114" s="404">
        <f>IF(Table5457[[#This Row],[Set Up QTY]]="", 0, setupPrice($A$98,Table5457[[#This Row],[Description]]))</f>
        <v>0</v>
      </c>
      <c r="E114" s="406">
        <f>IF(Table5457[[#This Row],[Piece Qty]]="", 0, perPiecePrice($A$98,Table5457[[#This Row],[Description]],Table5457[[#This Row],[Piece Qty]]))</f>
        <v>0</v>
      </c>
      <c r="F114" s="406">
        <f>Table5457[[#This Row],[Set Up QTY]]*Table5457[[#This Row],[Setup Price]]+Table5457[[#This Row],[Piece Qty]]*Table5457[[#This Row],[Price Ea.]]</f>
        <v>0</v>
      </c>
    </row>
    <row r="115" spans="1:6" ht="30" customHeight="1" x14ac:dyDescent="0.25">
      <c r="A115" s="391" t="s">
        <v>812</v>
      </c>
      <c r="C115" s="404">
        <f>IF(Table5457[[#This Row],[Set Up QTY]]="", 0, setupPrice($A$98,Table5457[[#This Row],[Description]]))</f>
        <v>0</v>
      </c>
      <c r="E115" s="406">
        <f>IF(Table5457[[#This Row],[Piece Qty]]="", 0, perPiecePrice($A$98,Table5457[[#This Row],[Description]],Table5457[[#This Row],[Piece Qty]]))</f>
        <v>0</v>
      </c>
      <c r="F115" s="406">
        <f>Table5457[[#This Row],[Set Up QTY]]*Table5457[[#This Row],[Setup Price]]+Table5457[[#This Row],[Piece Qty]]*Table5457[[#This Row],[Price Ea.]]</f>
        <v>0</v>
      </c>
    </row>
    <row r="116" spans="1:6" ht="30" customHeight="1" x14ac:dyDescent="0.25">
      <c r="A116" s="391" t="s">
        <v>813</v>
      </c>
      <c r="C116" s="404">
        <f>IF(Table5457[[#This Row],[Set Up QTY]]="", 0, setupPrice($A$98,Table5457[[#This Row],[Description]]))</f>
        <v>0</v>
      </c>
      <c r="E116" s="406">
        <f>IF(Table5457[[#This Row],[Piece Qty]]="", 0, perPiecePrice($A$98,Table5457[[#This Row],[Description]],Table5457[[#This Row],[Piece Qty]]))</f>
        <v>0</v>
      </c>
      <c r="F116" s="406">
        <f>Table5457[[#This Row],[Set Up QTY]]*Table5457[[#This Row],[Setup Price]]+Table5457[[#This Row],[Piece Qty]]*Table5457[[#This Row],[Price Ea.]]</f>
        <v>0</v>
      </c>
    </row>
    <row r="117" spans="1:6" ht="30" customHeight="1" x14ac:dyDescent="0.25">
      <c r="A117" s="391" t="s">
        <v>814</v>
      </c>
      <c r="C117" s="404">
        <f>IF(Table5457[[#This Row],[Set Up QTY]]="", 0, setupPrice($A$98,Table5457[[#This Row],[Description]]))</f>
        <v>0</v>
      </c>
      <c r="E117" s="406">
        <f>IF(Table5457[[#This Row],[Piece Qty]]="", 0, perPiecePrice($A$98,Table5457[[#This Row],[Description]],Table5457[[#This Row],[Piece Qty]]))</f>
        <v>0</v>
      </c>
      <c r="F117" s="406">
        <f>Table5457[[#This Row],[Set Up QTY]]*Table5457[[#This Row],[Setup Price]]+Table5457[[#This Row],[Piece Qty]]*Table5457[[#This Row],[Price Ea.]]</f>
        <v>0</v>
      </c>
    </row>
    <row r="118" spans="1:6" ht="30" customHeight="1" x14ac:dyDescent="0.25">
      <c r="A118" s="391" t="s">
        <v>815</v>
      </c>
      <c r="C118" s="404">
        <f>IF(Table5457[[#This Row],[Set Up QTY]]="", 0, setupPrice($A$98,Table5457[[#This Row],[Description]]))</f>
        <v>0</v>
      </c>
      <c r="E118" s="406">
        <f>IF(Table5457[[#This Row],[Piece Qty]]="", 0, perPiecePrice($A$98,Table5457[[#This Row],[Description]],Table5457[[#This Row],[Piece Qty]]))</f>
        <v>0</v>
      </c>
      <c r="F118" s="406">
        <f>Table5457[[#This Row],[Set Up QTY]]*Table5457[[#This Row],[Setup Price]]+Table5457[[#This Row],[Piece Qty]]*Table5457[[#This Row],[Price Ea.]]</f>
        <v>0</v>
      </c>
    </row>
    <row r="119" spans="1:6" ht="30" customHeight="1" x14ac:dyDescent="0.25">
      <c r="A119" s="391" t="s">
        <v>816</v>
      </c>
      <c r="C119" s="404">
        <f>IF(Table5457[[#This Row],[Set Up QTY]]="", 0, setupPrice($A$98,Table5457[[#This Row],[Description]]))</f>
        <v>0</v>
      </c>
      <c r="E119" s="406">
        <f>IF(Table5457[[#This Row],[Piece Qty]]="", 0, perPiecePrice($A$98,Table5457[[#This Row],[Description]],Table5457[[#This Row],[Piece Qty]]))</f>
        <v>0</v>
      </c>
      <c r="F119" s="406">
        <f>Table5457[[#This Row],[Set Up QTY]]*Table5457[[#This Row],[Setup Price]]+Table5457[[#This Row],[Piece Qty]]*Table5457[[#This Row],[Price Ea.]]</f>
        <v>0</v>
      </c>
    </row>
    <row r="120" spans="1:6" ht="30" customHeight="1" x14ac:dyDescent="0.25">
      <c r="A120" s="391" t="s">
        <v>817</v>
      </c>
      <c r="C120" s="404">
        <f>IF(Table5457[[#This Row],[Set Up QTY]]="", 0, setupPrice($A$98,Table5457[[#This Row],[Description]]))</f>
        <v>0</v>
      </c>
      <c r="E120" s="406">
        <f>IF(Table5457[[#This Row],[Piece Qty]]="", 0, perPiecePrice($A$98,Table5457[[#This Row],[Description]],Table5457[[#This Row],[Piece Qty]]))</f>
        <v>0</v>
      </c>
      <c r="F120" s="406">
        <f>Table5457[[#This Row],[Set Up QTY]]*Table5457[[#This Row],[Setup Price]]+Table5457[[#This Row],[Piece Qty]]*Table5457[[#This Row],[Price Ea.]]</f>
        <v>0</v>
      </c>
    </row>
    <row r="121" spans="1:6" ht="30" customHeight="1" x14ac:dyDescent="0.25">
      <c r="A121" s="391" t="s">
        <v>818</v>
      </c>
      <c r="C121" s="404">
        <f>IF(Table5457[[#This Row],[Set Up QTY]]="", 0, setupPrice($A$98,Table5457[[#This Row],[Description]]))</f>
        <v>0</v>
      </c>
      <c r="E121" s="406">
        <f>IF(Table5457[[#This Row],[Piece Qty]]="", 0, perPiecePrice($A$98,Table5457[[#This Row],[Description]],Table5457[[#This Row],[Piece Qty]]))</f>
        <v>0</v>
      </c>
      <c r="F121" s="406">
        <f>Table5457[[#This Row],[Set Up QTY]]*Table5457[[#This Row],[Setup Price]]+Table5457[[#This Row],[Piece Qty]]*Table5457[[#This Row],[Price Ea.]]</f>
        <v>0</v>
      </c>
    </row>
    <row r="122" spans="1:6" ht="30" customHeight="1" x14ac:dyDescent="0.25">
      <c r="A122" s="391" t="s">
        <v>766</v>
      </c>
      <c r="C122" s="404">
        <f>IF(Table5457[[#This Row],[Set Up QTY]]="", 0, setupPrice($A$98,Table5457[[#This Row],[Description]]))</f>
        <v>0</v>
      </c>
      <c r="E122" s="406">
        <f>IF(Table5457[[#This Row],[Piece Qty]]="", 0, perPiecePrice($A$98,Table5457[[#This Row],[Description]],Table5457[[#This Row],[Piece Qty]]))</f>
        <v>0</v>
      </c>
      <c r="F122" s="406">
        <f>Table5457[[#This Row],[Set Up QTY]]*Table5457[[#This Row],[Setup Price]]+Table5457[[#This Row],[Piece Qty]]*Table5457[[#This Row],[Price Ea.]]</f>
        <v>0</v>
      </c>
    </row>
    <row r="123" spans="1:6" ht="30" customHeight="1" x14ac:dyDescent="0.25">
      <c r="A123" s="391" t="s">
        <v>726</v>
      </c>
      <c r="C123" s="404">
        <f>IF(Table5457[[#This Row],[Set Up QTY]]="", 0, setupPrice($A$98,Table5457[[#This Row],[Description]]))</f>
        <v>0</v>
      </c>
      <c r="E123" s="406">
        <f>IF(Table5457[[#This Row],[Piece Qty]]="", 0, perPiecePrice($A$98,Table5457[[#This Row],[Description]],Table5457[[#This Row],[Piece Qty]]))</f>
        <v>0</v>
      </c>
      <c r="F123" s="406">
        <f>Table5457[[#This Row],[Set Up QTY]]*Table5457[[#This Row],[Setup Price]]+Table5457[[#This Row],[Piece Qty]]*Table5457[[#This Row],[Price Ea.]]</f>
        <v>0</v>
      </c>
    </row>
    <row r="124" spans="1:6" ht="30" customHeight="1" x14ac:dyDescent="0.25">
      <c r="A124" s="391" t="s">
        <v>727</v>
      </c>
      <c r="C124" s="404">
        <f>IF(Table5457[[#This Row],[Set Up QTY]]="", 0, setupPrice($A$98,Table5457[[#This Row],[Description]]))</f>
        <v>0</v>
      </c>
      <c r="E124" s="406">
        <f>IF(Table5457[[#This Row],[Piece Qty]]="", 0, perPiecePrice($A$98,Table5457[[#This Row],[Description]],Table5457[[#This Row],[Piece Qty]]))</f>
        <v>0</v>
      </c>
      <c r="F124" s="406">
        <f>Table5457[[#This Row],[Set Up QTY]]*Table5457[[#This Row],[Setup Price]]+Table5457[[#This Row],[Piece Qty]]*Table5457[[#This Row],[Price Ea.]]</f>
        <v>0</v>
      </c>
    </row>
    <row r="125" spans="1:6" ht="30" customHeight="1" x14ac:dyDescent="0.25">
      <c r="A125" s="391" t="s">
        <v>728</v>
      </c>
      <c r="C125" s="404">
        <f>IF(Table5457[[#This Row],[Set Up QTY]]="", 0, setupPrice($A$98,Table5457[[#This Row],[Description]]))</f>
        <v>0</v>
      </c>
      <c r="E125" s="406">
        <f>IF(Table5457[[#This Row],[Piece Qty]]="", 0, perPiecePrice($A$98,Table5457[[#This Row],[Description]],Table5457[[#This Row],[Piece Qty]]))</f>
        <v>0</v>
      </c>
      <c r="F125" s="406">
        <f>Table5457[[#This Row],[Set Up QTY]]*Table5457[[#This Row],[Setup Price]]+Table5457[[#This Row],[Piece Qty]]*Table5457[[#This Row],[Price Ea.]]</f>
        <v>0</v>
      </c>
    </row>
    <row r="126" spans="1:6" ht="30" customHeight="1" x14ac:dyDescent="0.25">
      <c r="A126" s="391" t="s">
        <v>729</v>
      </c>
      <c r="C126" s="404">
        <f>IF(Table5457[[#This Row],[Set Up QTY]]="", 0, setupPrice($A$98,Table5457[[#This Row],[Description]]))</f>
        <v>0</v>
      </c>
      <c r="E126" s="406">
        <f>IF(Table5457[[#This Row],[Piece Qty]]="", 0, perPiecePrice($A$98,Table5457[[#This Row],[Description]],Table5457[[#This Row],[Piece Qty]]))</f>
        <v>0</v>
      </c>
      <c r="F126" s="406">
        <f>Table5457[[#This Row],[Set Up QTY]]*Table5457[[#This Row],[Setup Price]]+Table5457[[#This Row],[Piece Qty]]*Table5457[[#This Row],[Price Ea.]]</f>
        <v>0</v>
      </c>
    </row>
    <row r="127" spans="1:6" ht="30" customHeight="1" x14ac:dyDescent="0.25">
      <c r="A127" s="391" t="s">
        <v>730</v>
      </c>
      <c r="C127" s="404">
        <f>IF(Table5457[[#This Row],[Set Up QTY]]="", 0, setupPrice($A$98,Table5457[[#This Row],[Description]]))</f>
        <v>0</v>
      </c>
      <c r="E127" s="406">
        <f>IF(Table5457[[#This Row],[Piece Qty]]="", 0, perPiecePrice($A$98,Table5457[[#This Row],[Description]],Table5457[[#This Row],[Piece Qty]]))</f>
        <v>0</v>
      </c>
      <c r="F127" s="406">
        <f>Table5457[[#This Row],[Set Up QTY]]*Table5457[[#This Row],[Setup Price]]+Table5457[[#This Row],[Piece Qty]]*Table5457[[#This Row],[Price Ea.]]</f>
        <v>0</v>
      </c>
    </row>
    <row r="129" spans="1:6" x14ac:dyDescent="0.25">
      <c r="A129" s="390" t="s">
        <v>900</v>
      </c>
      <c r="B129" s="175"/>
      <c r="C129" s="403"/>
      <c r="D129" s="175"/>
      <c r="E129" s="403"/>
      <c r="F129" s="403"/>
    </row>
    <row r="130" spans="1:6" s="413" customFormat="1" ht="15.75" thickBot="1" x14ac:dyDescent="0.3">
      <c r="A130" s="410" t="s">
        <v>233</v>
      </c>
      <c r="B130" s="411" t="s">
        <v>562</v>
      </c>
      <c r="C130" s="411" t="s">
        <v>559</v>
      </c>
      <c r="D130" s="411" t="s">
        <v>560</v>
      </c>
      <c r="E130" s="411" t="s">
        <v>561</v>
      </c>
      <c r="F130" s="412" t="s">
        <v>555</v>
      </c>
    </row>
    <row r="131" spans="1:6" ht="30" customHeight="1" thickTop="1" x14ac:dyDescent="0.25">
      <c r="A131" s="391" t="s">
        <v>819</v>
      </c>
      <c r="C131" s="404">
        <f>IF(Table57[[#This Row],[Set Up QTY]]="", 0, setupPrice($A$129,Table57[[#This Row],[Description]]))</f>
        <v>0</v>
      </c>
      <c r="E131" s="404">
        <f>IF(Table57[[#This Row],[Piece Qty]]="", 0, perPiecePrice($A$129,Table57[[#This Row],[Description]],Table57[[#This Row],[Piece Qty]]))</f>
        <v>0</v>
      </c>
      <c r="F131" s="404">
        <f>Table57[[#This Row],[Set Up QTY]]*Table57[[#This Row],[Setup Price]]+Table57[[#This Row],[Piece Qty]]*Table57[[#This Row],[Price Ea.]]</f>
        <v>0</v>
      </c>
    </row>
    <row r="132" spans="1:6" ht="30" customHeight="1" x14ac:dyDescent="0.25">
      <c r="A132" s="391" t="s">
        <v>820</v>
      </c>
      <c r="C132" s="406">
        <f>IF(Table57[[#This Row],[Set Up QTY]]="", 0, setupPrice($A$129,Table57[[#This Row],[Description]]))</f>
        <v>0</v>
      </c>
      <c r="E132" s="404">
        <f>IF(Table57[[#This Row],[Piece Qty]]="", 0, perPiecePrice($A$129,Table57[[#This Row],[Description]],Table57[[#This Row],[Piece Qty]]))</f>
        <v>0</v>
      </c>
      <c r="F132" s="404">
        <f>Table57[[#This Row],[Set Up QTY]]*Table57[[#This Row],[Setup Price]]+Table57[[#This Row],[Piece Qty]]*Table57[[#This Row],[Price Ea.]]</f>
        <v>0</v>
      </c>
    </row>
    <row r="133" spans="1:6" ht="30" customHeight="1" x14ac:dyDescent="0.25">
      <c r="A133" s="391" t="s">
        <v>821</v>
      </c>
      <c r="C133" s="406">
        <f>IF(Table57[[#This Row],[Set Up QTY]]="", 0, setupPrice($A$129,Table57[[#This Row],[Description]]))</f>
        <v>0</v>
      </c>
      <c r="E133" s="415">
        <f>IF(Table57[[#This Row],[Piece Qty]]="", 0, perPiecePrice($A$129,Table57[[#This Row],[Description]],Table57[[#This Row],[Piece Qty]]))</f>
        <v>0</v>
      </c>
      <c r="F133" s="404">
        <f>Table57[[#This Row],[Set Up QTY]]*Table57[[#This Row],[Setup Price]]+Table57[[#This Row],[Piece Qty]]*Table57[[#This Row],[Price Ea.]]</f>
        <v>0</v>
      </c>
    </row>
    <row r="134" spans="1:6" ht="30" customHeight="1" x14ac:dyDescent="0.25">
      <c r="A134" s="391" t="s">
        <v>822</v>
      </c>
      <c r="C134" s="406">
        <f>IF(Table57[[#This Row],[Set Up QTY]]="", 0, setupPrice($A$129,Table57[[#This Row],[Description]]))</f>
        <v>0</v>
      </c>
      <c r="E134" s="404">
        <f>IF(Table57[[#This Row],[Piece Qty]]="", 0, perPiecePrice($A$129,Table57[[#This Row],[Description]],Table57[[#This Row],[Piece Qty]]))</f>
        <v>0</v>
      </c>
      <c r="F134" s="404">
        <f>Table57[[#This Row],[Set Up QTY]]*Table57[[#This Row],[Setup Price]]+Table57[[#This Row],[Piece Qty]]*Table57[[#This Row],[Price Ea.]]</f>
        <v>0</v>
      </c>
    </row>
    <row r="135" spans="1:6" ht="30" customHeight="1" x14ac:dyDescent="0.25">
      <c r="A135" s="391" t="s">
        <v>823</v>
      </c>
      <c r="C135" s="406">
        <f>IF(Table57[[#This Row],[Set Up QTY]]="", 0, setupPrice($A$129,Table57[[#This Row],[Description]]))</f>
        <v>0</v>
      </c>
      <c r="E135" s="404">
        <f>IF(Table57[[#This Row],[Piece Qty]]="", 0, perPiecePrice($A$129,Table57[[#This Row],[Description]],Table57[[#This Row],[Piece Qty]]))</f>
        <v>0</v>
      </c>
      <c r="F135" s="404">
        <f>Table57[[#This Row],[Set Up QTY]]*Table57[[#This Row],[Setup Price]]+Table57[[#This Row],[Piece Qty]]*Table57[[#This Row],[Price Ea.]]</f>
        <v>0</v>
      </c>
    </row>
    <row r="136" spans="1:6" ht="30" customHeight="1" x14ac:dyDescent="0.25">
      <c r="A136" s="391" t="s">
        <v>824</v>
      </c>
      <c r="C136" s="406">
        <f>IF(Table57[[#This Row],[Set Up QTY]]="", 0, setupPrice($A$129,Table57[[#This Row],[Description]]))</f>
        <v>0</v>
      </c>
      <c r="E136" s="404">
        <f>IF(Table57[[#This Row],[Piece Qty]]="", 0, perPiecePrice($A$129,Table57[[#This Row],[Description]],Table57[[#This Row],[Piece Qty]]))</f>
        <v>0</v>
      </c>
      <c r="F136" s="404">
        <f>Table57[[#This Row],[Set Up QTY]]*Table57[[#This Row],[Setup Price]]+Table57[[#This Row],[Piece Qty]]*Table57[[#This Row],[Price Ea.]]</f>
        <v>0</v>
      </c>
    </row>
    <row r="137" spans="1:6" ht="30" customHeight="1" x14ac:dyDescent="0.25">
      <c r="A137" s="391" t="s">
        <v>825</v>
      </c>
      <c r="C137" s="406">
        <f>IF(Table57[[#This Row],[Set Up QTY]]="", 0, setupPrice($A$129,Table57[[#This Row],[Description]]))</f>
        <v>0</v>
      </c>
      <c r="E137" s="404">
        <f>IF(Table57[[#This Row],[Piece Qty]]="", 0, perPiecePrice($A$129,Table57[[#This Row],[Description]],Table57[[#This Row],[Piece Qty]]))</f>
        <v>0</v>
      </c>
      <c r="F137" s="404">
        <f>Table57[[#This Row],[Set Up QTY]]*Table57[[#This Row],[Setup Price]]+Table57[[#This Row],[Piece Qty]]*Table57[[#This Row],[Price Ea.]]</f>
        <v>0</v>
      </c>
    </row>
    <row r="138" spans="1:6" ht="30" customHeight="1" x14ac:dyDescent="0.25">
      <c r="A138" s="391" t="s">
        <v>826</v>
      </c>
      <c r="C138" s="406">
        <f>IF(Table57[[#This Row],[Set Up QTY]]="", 0, setupPrice($A$129,Table57[[#This Row],[Description]]))</f>
        <v>0</v>
      </c>
      <c r="E138" s="404">
        <f>IF(Table57[[#This Row],[Piece Qty]]="", 0, perPiecePrice($A$129,Table57[[#This Row],[Description]],Table57[[#This Row],[Piece Qty]]))</f>
        <v>0</v>
      </c>
      <c r="F138" s="404">
        <f>Table57[[#This Row],[Set Up QTY]]*Table57[[#This Row],[Setup Price]]+Table57[[#This Row],[Piece Qty]]*Table57[[#This Row],[Price Ea.]]</f>
        <v>0</v>
      </c>
    </row>
    <row r="139" spans="1:6" ht="30" customHeight="1" x14ac:dyDescent="0.25">
      <c r="A139" s="391" t="s">
        <v>827</v>
      </c>
      <c r="C139" s="406">
        <f>IF(Table57[[#This Row],[Set Up QTY]]="", 0, setupPrice($A$129,Table57[[#This Row],[Description]]))</f>
        <v>0</v>
      </c>
      <c r="E139" s="404">
        <f>IF(Table57[[#This Row],[Piece Qty]]="", 0, perPiecePrice($A$129,Table57[[#This Row],[Description]],Table57[[#This Row],[Piece Qty]]))</f>
        <v>0</v>
      </c>
      <c r="F139" s="404">
        <f>Table57[[#This Row],[Set Up QTY]]*Table57[[#This Row],[Setup Price]]+Table57[[#This Row],[Piece Qty]]*Table57[[#This Row],[Price Ea.]]</f>
        <v>0</v>
      </c>
    </row>
    <row r="140" spans="1:6" ht="30" customHeight="1" x14ac:dyDescent="0.25">
      <c r="A140" s="391" t="s">
        <v>828</v>
      </c>
      <c r="C140" s="406">
        <f>IF(Table57[[#This Row],[Set Up QTY]]="", 0, setupPrice($A$129,Table57[[#This Row],[Description]]))</f>
        <v>0</v>
      </c>
      <c r="E140" s="404">
        <f>IF(Table57[[#This Row],[Piece Qty]]="", 0, perPiecePrice($A$129,Table57[[#This Row],[Description]],Table57[[#This Row],[Piece Qty]]))</f>
        <v>0</v>
      </c>
      <c r="F140" s="404">
        <f>Table57[[#This Row],[Set Up QTY]]*Table57[[#This Row],[Setup Price]]+Table57[[#This Row],[Piece Qty]]*Table57[[#This Row],[Price Ea.]]</f>
        <v>0</v>
      </c>
    </row>
    <row r="141" spans="1:6" ht="30" customHeight="1" x14ac:dyDescent="0.25">
      <c r="A141" s="391" t="s">
        <v>829</v>
      </c>
      <c r="C141" s="406">
        <f>IF(Table57[[#This Row],[Set Up QTY]]="", 0, setupPrice($A$129,Table57[[#This Row],[Description]]))</f>
        <v>0</v>
      </c>
      <c r="E141" s="404">
        <f>IF(Table57[[#This Row],[Piece Qty]]="", 0, perPiecePrice($A$129,Table57[[#This Row],[Description]],Table57[[#This Row],[Piece Qty]]))</f>
        <v>0</v>
      </c>
      <c r="F141" s="404">
        <f>Table57[[#This Row],[Set Up QTY]]*Table57[[#This Row],[Setup Price]]+Table57[[#This Row],[Piece Qty]]*Table57[[#This Row],[Price Ea.]]</f>
        <v>0</v>
      </c>
    </row>
    <row r="142" spans="1:6" ht="30" customHeight="1" x14ac:dyDescent="0.25">
      <c r="A142" s="391" t="s">
        <v>830</v>
      </c>
      <c r="C142" s="406">
        <f>IF(Table57[[#This Row],[Set Up QTY]]="", 0, setupPrice($A$129,Table57[[#This Row],[Description]]))</f>
        <v>0</v>
      </c>
      <c r="E142" s="404">
        <f>IF(Table57[[#This Row],[Piece Qty]]="", 0, perPiecePrice($A$129,Table57[[#This Row],[Description]],Table57[[#This Row],[Piece Qty]]))</f>
        <v>0</v>
      </c>
      <c r="F142" s="404">
        <f>Table57[[#This Row],[Set Up QTY]]*Table57[[#This Row],[Setup Price]]+Table57[[#This Row],[Piece Qty]]*Table57[[#This Row],[Price Ea.]]</f>
        <v>0</v>
      </c>
    </row>
    <row r="143" spans="1:6" ht="30" customHeight="1" x14ac:dyDescent="0.25">
      <c r="A143" s="391" t="s">
        <v>831</v>
      </c>
      <c r="C143" s="406">
        <f>IF(Table57[[#This Row],[Set Up QTY]]="", 0, setupPrice($A$129,Table57[[#This Row],[Description]]))</f>
        <v>0</v>
      </c>
      <c r="E143" s="404">
        <f>IF(Table57[[#This Row],[Piece Qty]]="", 0, perPiecePrice($A$129,Table57[[#This Row],[Description]],Table57[[#This Row],[Piece Qty]]))</f>
        <v>0</v>
      </c>
      <c r="F143" s="404">
        <f>Table57[[#This Row],[Set Up QTY]]*Table57[[#This Row],[Setup Price]]+Table57[[#This Row],[Piece Qty]]*Table57[[#This Row],[Price Ea.]]</f>
        <v>0</v>
      </c>
    </row>
    <row r="145" spans="1:6" x14ac:dyDescent="0.25">
      <c r="A145" s="390" t="s">
        <v>901</v>
      </c>
      <c r="B145" s="175"/>
      <c r="C145" s="403"/>
      <c r="D145" s="175"/>
      <c r="E145" s="403"/>
      <c r="F145" s="403"/>
    </row>
    <row r="146" spans="1:6" s="413" customFormat="1" ht="15.75" thickBot="1" x14ac:dyDescent="0.3">
      <c r="A146" s="410" t="s">
        <v>233</v>
      </c>
      <c r="B146" s="411" t="s">
        <v>562</v>
      </c>
      <c r="C146" s="411" t="s">
        <v>559</v>
      </c>
      <c r="D146" s="411" t="s">
        <v>560</v>
      </c>
      <c r="E146" s="411" t="s">
        <v>561</v>
      </c>
      <c r="F146" s="412" t="s">
        <v>555</v>
      </c>
    </row>
    <row r="147" spans="1:6" ht="30" customHeight="1" thickTop="1" x14ac:dyDescent="0.25">
      <c r="A147" s="391" t="s">
        <v>459</v>
      </c>
      <c r="B147">
        <v>1</v>
      </c>
      <c r="C147" s="406">
        <f>IF(Table58[[#This Row],[Set Up QTY]]="", 0, setupPrice($A$145,Table58[[#This Row],[Description]]))</f>
        <v>40</v>
      </c>
      <c r="E147" s="404">
        <f>IF(Table58[[#This Row],[Piece Qty]]="", 0, perPiecePrice($A$145,Table58[[#This Row],[Description]],Table58[[#This Row],[Piece Qty]]))</f>
        <v>0</v>
      </c>
      <c r="F147" s="404">
        <f>Table58[[#This Row],[Set Up QTY]]*Table58[[#This Row],[Setup Price]]+Table58[[#This Row],[Piece Qty]]*Table58[[#This Row],[Price Ea.]]</f>
        <v>40</v>
      </c>
    </row>
    <row r="148" spans="1:6" ht="30" customHeight="1" x14ac:dyDescent="0.25">
      <c r="A148" s="391" t="s">
        <v>460</v>
      </c>
      <c r="B148">
        <v>1</v>
      </c>
      <c r="C148" s="406">
        <f>IF(Table58[[#This Row],[Set Up QTY]]="", 0, setupPrice($A$145,Table58[[#This Row],[Description]]))</f>
        <v>42.5</v>
      </c>
      <c r="E148" s="414">
        <f>IF(Table58[[#This Row],[Piece Qty]]="", 0, perPiecePrice($A$145,Table58[[#This Row],[Description]],Table58[[#This Row],[Piece Qty]]))</f>
        <v>0</v>
      </c>
      <c r="F148" s="404">
        <f>Table58[[#This Row],[Set Up QTY]]*Table58[[#This Row],[Setup Price]]+Table58[[#This Row],[Piece Qty]]*Table58[[#This Row],[Price Ea.]]</f>
        <v>42.5</v>
      </c>
    </row>
    <row r="149" spans="1:6" ht="30" customHeight="1" x14ac:dyDescent="0.25">
      <c r="A149" s="391" t="s">
        <v>461</v>
      </c>
      <c r="C149" s="406">
        <f>IF(Table58[[#This Row],[Set Up QTY]]="", 0, setupPrice($A$145,Table58[[#This Row],[Description]]))</f>
        <v>0</v>
      </c>
      <c r="E149" s="406">
        <f>IF(Table58[[#This Row],[Piece Qty]]="", 0, perPiecePrice($A$145,Table58[[#This Row],[Description]],Table58[[#This Row],[Piece Qty]]))</f>
        <v>0</v>
      </c>
      <c r="F149" s="404">
        <f>Table58[[#This Row],[Set Up QTY]]*Table58[[#This Row],[Setup Price]]+Table58[[#This Row],[Piece Qty]]*Table58[[#This Row],[Price Ea.]]</f>
        <v>0</v>
      </c>
    </row>
    <row r="150" spans="1:6" ht="30" customHeight="1" x14ac:dyDescent="0.25">
      <c r="A150" s="391" t="s">
        <v>462</v>
      </c>
      <c r="C150" s="406">
        <f>IF(Table58[[#This Row],[Set Up QTY]]="", 0, setupPrice($A$145,Table58[[#This Row],[Description]]))</f>
        <v>0</v>
      </c>
      <c r="E150" s="406">
        <f>IF(Table58[[#This Row],[Piece Qty]]="", 0, perPiecePrice($A$145,Table58[[#This Row],[Description]],Table58[[#This Row],[Piece Qty]]))</f>
        <v>0</v>
      </c>
      <c r="F150" s="404">
        <f>Table58[[#This Row],[Set Up QTY]]*Table58[[#This Row],[Setup Price]]+Table58[[#This Row],[Piece Qty]]*Table58[[#This Row],[Price Ea.]]</f>
        <v>0</v>
      </c>
    </row>
    <row r="151" spans="1:6" ht="30" customHeight="1" x14ac:dyDescent="0.25">
      <c r="A151" s="391" t="s">
        <v>463</v>
      </c>
      <c r="C151" s="406">
        <f>IF(Table58[[#This Row],[Set Up QTY]]="", 0, setupPrice($A$145,Table58[[#This Row],[Description]]))</f>
        <v>0</v>
      </c>
      <c r="E151" s="406">
        <f>IF(Table58[[#This Row],[Piece Qty]]="", 0, perPiecePrice($A$145,Table58[[#This Row],[Description]],Table58[[#This Row],[Piece Qty]]))</f>
        <v>0</v>
      </c>
      <c r="F151" s="404">
        <f>Table58[[#This Row],[Set Up QTY]]*Table58[[#This Row],[Setup Price]]+Table58[[#This Row],[Piece Qty]]*Table58[[#This Row],[Price Ea.]]</f>
        <v>0</v>
      </c>
    </row>
    <row r="152" spans="1:6" ht="30" customHeight="1" x14ac:dyDescent="0.25">
      <c r="A152" s="391" t="s">
        <v>464</v>
      </c>
      <c r="C152" s="406">
        <f>IF(Table58[[#This Row],[Set Up QTY]]="", 0, setupPrice($A$145,Table58[[#This Row],[Description]]))</f>
        <v>0</v>
      </c>
      <c r="E152" s="406">
        <f>IF(Table58[[#This Row],[Piece Qty]]="", 0, perPiecePrice($A$145,Table58[[#This Row],[Description]],Table58[[#This Row],[Piece Qty]]))</f>
        <v>0</v>
      </c>
      <c r="F152" s="404">
        <f>Table58[[#This Row],[Set Up QTY]]*Table58[[#This Row],[Setup Price]]+Table58[[#This Row],[Piece Qty]]*Table58[[#This Row],[Price Ea.]]</f>
        <v>0</v>
      </c>
    </row>
    <row r="153" spans="1:6" ht="30" customHeight="1" x14ac:dyDescent="0.25">
      <c r="A153" s="391" t="s">
        <v>465</v>
      </c>
      <c r="C153" s="406">
        <f>IF(Table58[[#This Row],[Set Up QTY]]="", 0, setupPrice($A$145,Table58[[#This Row],[Description]]))</f>
        <v>0</v>
      </c>
      <c r="E153" s="406">
        <f>IF(Table58[[#This Row],[Piece Qty]]="", 0, perPiecePrice($A$145,Table58[[#This Row],[Description]],Table58[[#This Row],[Piece Qty]]))</f>
        <v>0</v>
      </c>
      <c r="F153" s="404">
        <f>Table58[[#This Row],[Set Up QTY]]*Table58[[#This Row],[Setup Price]]+Table58[[#This Row],[Piece Qty]]*Table58[[#This Row],[Price Ea.]]</f>
        <v>0</v>
      </c>
    </row>
    <row r="154" spans="1:6" ht="30" customHeight="1" x14ac:dyDescent="0.25">
      <c r="A154" s="391" t="s">
        <v>466</v>
      </c>
      <c r="C154" s="406">
        <f>IF(Table58[[#This Row],[Set Up QTY]]="", 0, setupPrice($A$145,Table58[[#This Row],[Description]]))</f>
        <v>0</v>
      </c>
      <c r="E154" s="406">
        <f>IF(Table58[[#This Row],[Piece Qty]]="", 0, perPiecePrice($A$145,Table58[[#This Row],[Description]],Table58[[#This Row],[Piece Qty]]))</f>
        <v>0</v>
      </c>
      <c r="F154" s="404">
        <f>Table58[[#This Row],[Set Up QTY]]*Table58[[#This Row],[Setup Price]]+Table58[[#This Row],[Piece Qty]]*Table58[[#This Row],[Price Ea.]]</f>
        <v>0</v>
      </c>
    </row>
    <row r="155" spans="1:6" ht="30" customHeight="1" x14ac:dyDescent="0.25">
      <c r="A155" s="391" t="s">
        <v>467</v>
      </c>
      <c r="C155" s="406">
        <f>IF(Table58[[#This Row],[Set Up QTY]]="", 0, setupPrice($A$145,Table58[[#This Row],[Description]]))</f>
        <v>0</v>
      </c>
      <c r="E155" s="406">
        <f>IF(Table58[[#This Row],[Piece Qty]]="", 0, perPiecePrice($A$145,Table58[[#This Row],[Description]],Table58[[#This Row],[Piece Qty]]))</f>
        <v>0</v>
      </c>
      <c r="F155" s="404">
        <f>Table58[[#This Row],[Set Up QTY]]*Table58[[#This Row],[Setup Price]]+Table58[[#This Row],[Piece Qty]]*Table58[[#This Row],[Price Ea.]]</f>
        <v>0</v>
      </c>
    </row>
    <row r="156" spans="1:6" ht="30" customHeight="1" x14ac:dyDescent="0.25">
      <c r="A156" s="391" t="s">
        <v>447</v>
      </c>
      <c r="C156" s="406">
        <f>IF(Table58[[#This Row],[Set Up QTY]]="", 0, setupPrice($A$145,Table58[[#This Row],[Description]]))</f>
        <v>0</v>
      </c>
      <c r="E156" s="406">
        <f>IF(Table58[[#This Row],[Piece Qty]]="", 0, perPiecePrice($A$145,Table58[[#This Row],[Description]],Table58[[#This Row],[Piece Qty]]))</f>
        <v>0</v>
      </c>
      <c r="F156" s="404">
        <f>Table58[[#This Row],[Set Up QTY]]*Table58[[#This Row],[Setup Price]]+Table58[[#This Row],[Piece Qty]]*Table58[[#This Row],[Price Ea.]]</f>
        <v>0</v>
      </c>
    </row>
    <row r="157" spans="1:6" ht="30" customHeight="1" x14ac:dyDescent="0.25">
      <c r="A157" s="391" t="s">
        <v>448</v>
      </c>
      <c r="C157" s="406">
        <f>IF(Table58[[#This Row],[Set Up QTY]]="", 0, setupPrice($A$145,Table58[[#This Row],[Description]]))</f>
        <v>0</v>
      </c>
      <c r="E157" s="406">
        <f>IF(Table58[[#This Row],[Piece Qty]]="", 0, perPiecePrice($A$145,Table58[[#This Row],[Description]],Table58[[#This Row],[Piece Qty]]))</f>
        <v>0</v>
      </c>
      <c r="F157" s="404">
        <f>Table58[[#This Row],[Set Up QTY]]*Table58[[#This Row],[Setup Price]]+Table58[[#This Row],[Piece Qty]]*Table58[[#This Row],[Price Ea.]]</f>
        <v>0</v>
      </c>
    </row>
    <row r="158" spans="1:6" ht="30" customHeight="1" x14ac:dyDescent="0.25">
      <c r="A158" s="391" t="s">
        <v>449</v>
      </c>
      <c r="C158" s="406">
        <f>IF(Table58[[#This Row],[Set Up QTY]]="", 0, setupPrice($A$145,Table58[[#This Row],[Description]]))</f>
        <v>0</v>
      </c>
      <c r="E158" s="406">
        <f>IF(Table58[[#This Row],[Piece Qty]]="", 0, perPiecePrice($A$145,Table58[[#This Row],[Description]],Table58[[#This Row],[Piece Qty]]))</f>
        <v>0</v>
      </c>
      <c r="F158" s="404">
        <f>Table58[[#This Row],[Set Up QTY]]*Table58[[#This Row],[Setup Price]]+Table58[[#This Row],[Piece Qty]]*Table58[[#This Row],[Price Ea.]]</f>
        <v>0</v>
      </c>
    </row>
    <row r="159" spans="1:6" ht="30" customHeight="1" x14ac:dyDescent="0.25">
      <c r="A159" s="391" t="s">
        <v>450</v>
      </c>
      <c r="C159" s="406">
        <f>IF(Table58[[#This Row],[Set Up QTY]]="", 0, setupPrice($A$145,Table58[[#This Row],[Description]]))</f>
        <v>0</v>
      </c>
      <c r="E159" s="406">
        <f>IF(Table58[[#This Row],[Piece Qty]]="", 0, perPiecePrice($A$145,Table58[[#This Row],[Description]],Table58[[#This Row],[Piece Qty]]))</f>
        <v>0</v>
      </c>
      <c r="F159" s="404">
        <f>Table58[[#This Row],[Set Up QTY]]*Table58[[#This Row],[Setup Price]]+Table58[[#This Row],[Piece Qty]]*Table58[[#This Row],[Price Ea.]]</f>
        <v>0</v>
      </c>
    </row>
    <row r="160" spans="1:6" ht="30" customHeight="1" x14ac:dyDescent="0.25">
      <c r="A160" s="391" t="s">
        <v>451</v>
      </c>
      <c r="C160" s="406">
        <f>IF(Table58[[#This Row],[Set Up QTY]]="", 0, setupPrice($A$145,Table58[[#This Row],[Description]]))</f>
        <v>0</v>
      </c>
      <c r="E160" s="406">
        <f>IF(Table58[[#This Row],[Piece Qty]]="", 0, perPiecePrice($A$145,Table58[[#This Row],[Description]],Table58[[#This Row],[Piece Qty]]))</f>
        <v>0</v>
      </c>
      <c r="F160" s="404">
        <f>Table58[[#This Row],[Set Up QTY]]*Table58[[#This Row],[Setup Price]]+Table58[[#This Row],[Piece Qty]]*Table58[[#This Row],[Price Ea.]]</f>
        <v>0</v>
      </c>
    </row>
    <row r="161" spans="1:6" ht="30" customHeight="1" x14ac:dyDescent="0.25">
      <c r="A161" s="391" t="s">
        <v>452</v>
      </c>
      <c r="C161" s="406">
        <f>IF(Table58[[#This Row],[Set Up QTY]]="", 0, setupPrice($A$145,Table58[[#This Row],[Description]]))</f>
        <v>0</v>
      </c>
      <c r="E161" s="406">
        <f>IF(Table58[[#This Row],[Piece Qty]]="", 0, perPiecePrice($A$145,Table58[[#This Row],[Description]],Table58[[#This Row],[Piece Qty]]))</f>
        <v>0</v>
      </c>
      <c r="F161" s="404">
        <f>Table58[[#This Row],[Set Up QTY]]*Table58[[#This Row],[Setup Price]]+Table58[[#This Row],[Piece Qty]]*Table58[[#This Row],[Price Ea.]]</f>
        <v>0</v>
      </c>
    </row>
    <row r="162" spans="1:6" ht="30" customHeight="1" x14ac:dyDescent="0.25">
      <c r="A162" s="391" t="s">
        <v>453</v>
      </c>
      <c r="C162" s="406">
        <f>IF(Table58[[#This Row],[Set Up QTY]]="", 0, setupPrice($A$145,Table58[[#This Row],[Description]]))</f>
        <v>0</v>
      </c>
      <c r="E162" s="406">
        <f>IF(Table58[[#This Row],[Piece Qty]]="", 0, perPiecePrice($A$145,Table58[[#This Row],[Description]],Table58[[#This Row],[Piece Qty]]))</f>
        <v>0</v>
      </c>
      <c r="F162" s="404">
        <f>Table58[[#This Row],[Set Up QTY]]*Table58[[#This Row],[Setup Price]]+Table58[[#This Row],[Piece Qty]]*Table58[[#This Row],[Price Ea.]]</f>
        <v>0</v>
      </c>
    </row>
    <row r="163" spans="1:6" ht="30" customHeight="1" x14ac:dyDescent="0.25">
      <c r="A163" s="391" t="s">
        <v>454</v>
      </c>
      <c r="C163" s="406">
        <f>IF(Table58[[#This Row],[Set Up QTY]]="", 0, setupPrice($A$145,Table58[[#This Row],[Description]]))</f>
        <v>0</v>
      </c>
      <c r="E163" s="406">
        <f>IF(Table58[[#This Row],[Piece Qty]]="", 0, perPiecePrice($A$145,Table58[[#This Row],[Description]],Table58[[#This Row],[Piece Qty]]))</f>
        <v>0</v>
      </c>
      <c r="F163" s="404">
        <f>Table58[[#This Row],[Set Up QTY]]*Table58[[#This Row],[Setup Price]]+Table58[[#This Row],[Piece Qty]]*Table58[[#This Row],[Price Ea.]]</f>
        <v>0</v>
      </c>
    </row>
    <row r="164" spans="1:6" ht="30" customHeight="1" x14ac:dyDescent="0.25">
      <c r="A164" s="391" t="s">
        <v>455</v>
      </c>
      <c r="C164" s="406">
        <f>IF(Table58[[#This Row],[Set Up QTY]]="", 0, setupPrice($A$145,Table58[[#This Row],[Description]]))</f>
        <v>0</v>
      </c>
      <c r="E164" s="406">
        <f>IF(Table58[[#This Row],[Piece Qty]]="", 0, perPiecePrice($A$145,Table58[[#This Row],[Description]],Table58[[#This Row],[Piece Qty]]))</f>
        <v>0</v>
      </c>
      <c r="F164" s="404">
        <f>Table58[[#This Row],[Set Up QTY]]*Table58[[#This Row],[Setup Price]]+Table58[[#This Row],[Piece Qty]]*Table58[[#This Row],[Price Ea.]]</f>
        <v>0</v>
      </c>
    </row>
    <row r="165" spans="1:6" ht="30" customHeight="1" x14ac:dyDescent="0.25">
      <c r="A165" s="391" t="s">
        <v>456</v>
      </c>
      <c r="C165" s="406">
        <f>IF(Table58[[#This Row],[Set Up QTY]]="", 0, setupPrice($A$145,Table58[[#This Row],[Description]]))</f>
        <v>0</v>
      </c>
      <c r="E165" s="406">
        <f>IF(Table58[[#This Row],[Piece Qty]]="", 0, perPiecePrice($A$145,Table58[[#This Row],[Description]],Table58[[#This Row],[Piece Qty]]))</f>
        <v>0</v>
      </c>
      <c r="F165" s="404">
        <f>Table58[[#This Row],[Set Up QTY]]*Table58[[#This Row],[Setup Price]]+Table58[[#This Row],[Piece Qty]]*Table58[[#This Row],[Price Ea.]]</f>
        <v>0</v>
      </c>
    </row>
    <row r="166" spans="1:6" ht="30" customHeight="1" x14ac:dyDescent="0.25">
      <c r="A166" s="391" t="s">
        <v>457</v>
      </c>
      <c r="C166" s="406">
        <f>IF(Table58[[#This Row],[Set Up QTY]]="", 0, setupPrice($A$145,Table58[[#This Row],[Description]]))</f>
        <v>0</v>
      </c>
      <c r="E166" s="406">
        <f>IF(Table58[[#This Row],[Piece Qty]]="", 0, perPiecePrice($A$145,Table58[[#This Row],[Description]],Table58[[#This Row],[Piece Qty]]))</f>
        <v>0</v>
      </c>
      <c r="F166" s="404">
        <f>Table58[[#This Row],[Set Up QTY]]*Table58[[#This Row],[Setup Price]]+Table58[[#This Row],[Piece Qty]]*Table58[[#This Row],[Price Ea.]]</f>
        <v>0</v>
      </c>
    </row>
    <row r="167" spans="1:6" ht="30" customHeight="1" x14ac:dyDescent="0.25">
      <c r="A167" s="391" t="s">
        <v>458</v>
      </c>
      <c r="C167" s="406">
        <f>IF(Table58[[#This Row],[Set Up QTY]]="", 0, setupPrice($A$145,Table58[[#This Row],[Description]]))</f>
        <v>0</v>
      </c>
      <c r="E167" s="406">
        <f>IF(Table58[[#This Row],[Piece Qty]]="", 0, perPiecePrice($A$145,Table58[[#This Row],[Description]],Table58[[#This Row],[Piece Qty]]))</f>
        <v>0</v>
      </c>
      <c r="F167" s="404">
        <f>Table58[[#This Row],[Set Up QTY]]*Table58[[#This Row],[Setup Price]]+Table58[[#This Row],[Piece Qty]]*Table58[[#This Row],[Price Ea.]]</f>
        <v>0</v>
      </c>
    </row>
    <row r="168" spans="1:6" ht="30" customHeight="1" x14ac:dyDescent="0.25">
      <c r="A168" s="391" t="s">
        <v>255</v>
      </c>
      <c r="C168" s="406">
        <f>IF(Table58[[#This Row],[Set Up QTY]]="", 0, setupPrice($A$145,Table58[[#This Row],[Description]]))</f>
        <v>0</v>
      </c>
      <c r="E168" s="406">
        <f>IF(Table58[[#This Row],[Piece Qty]]="", 0, perPiecePrice($A$145,Table58[[#This Row],[Description]],Table58[[#This Row],[Piece Qty]]))</f>
        <v>0</v>
      </c>
      <c r="F168" s="404">
        <f>Table58[[#This Row],[Set Up QTY]]*Table58[[#This Row],[Setup Price]]+Table58[[#This Row],[Piece Qty]]*Table58[[#This Row],[Price Ea.]]</f>
        <v>0</v>
      </c>
    </row>
    <row r="169" spans="1:6" ht="30" customHeight="1" x14ac:dyDescent="0.25">
      <c r="A169" s="391" t="s">
        <v>832</v>
      </c>
      <c r="C169" s="406">
        <f>IF(Table58[[#This Row],[Set Up QTY]]="", 0, setupPrice($A$145,Table58[[#This Row],[Description]]))</f>
        <v>0</v>
      </c>
      <c r="E169" s="406">
        <f>IF(Table58[[#This Row],[Piece Qty]]="", 0, perPiecePrice($A$145,Table58[[#This Row],[Description]],Table58[[#This Row],[Piece Qty]]))</f>
        <v>0</v>
      </c>
      <c r="F169" s="404">
        <f>Table58[[#This Row],[Set Up QTY]]*Table58[[#This Row],[Setup Price]]+Table58[[#This Row],[Piece Qty]]*Table58[[#This Row],[Price Ea.]]</f>
        <v>0</v>
      </c>
    </row>
    <row r="170" spans="1:6" ht="30" customHeight="1" x14ac:dyDescent="0.25">
      <c r="A170" s="391" t="s">
        <v>833</v>
      </c>
      <c r="C170" s="406">
        <f>IF(Table58[[#This Row],[Set Up QTY]]="", 0, setupPrice($A$145,Table58[[#This Row],[Description]]))</f>
        <v>0</v>
      </c>
      <c r="E170" s="406">
        <f>IF(Table58[[#This Row],[Piece Qty]]="", 0, perPiecePrice($A$145,Table58[[#This Row],[Description]],Table58[[#This Row],[Piece Qty]]))</f>
        <v>0</v>
      </c>
      <c r="F170" s="404">
        <f>Table58[[#This Row],[Set Up QTY]]*Table58[[#This Row],[Setup Price]]+Table58[[#This Row],[Piece Qty]]*Table58[[#This Row],[Price Ea.]]</f>
        <v>0</v>
      </c>
    </row>
    <row r="171" spans="1:6" ht="30" customHeight="1" x14ac:dyDescent="0.25">
      <c r="A171" s="391" t="s">
        <v>256</v>
      </c>
      <c r="C171" s="406">
        <f>IF(Table58[[#This Row],[Set Up QTY]]="", 0, setupPrice($A$145,Table58[[#This Row],[Description]]))</f>
        <v>0</v>
      </c>
      <c r="E171" s="406">
        <f>IF(Table58[[#This Row],[Piece Qty]]="", 0, perPiecePrice($A$145,Table58[[#This Row],[Description]],Table58[[#This Row],[Piece Qty]]))</f>
        <v>0</v>
      </c>
      <c r="F171" s="404">
        <f>Table58[[#This Row],[Set Up QTY]]*Table58[[#This Row],[Setup Price]]+Table58[[#This Row],[Piece Qty]]*Table58[[#This Row],[Price Ea.]]</f>
        <v>0</v>
      </c>
    </row>
    <row r="172" spans="1:6" ht="30" customHeight="1" x14ac:dyDescent="0.25">
      <c r="A172" s="391" t="s">
        <v>834</v>
      </c>
      <c r="C172" s="406">
        <f>IF(Table58[[#This Row],[Set Up QTY]]="", 0, setupPrice($A$145,Table58[[#This Row],[Description]]))</f>
        <v>0</v>
      </c>
      <c r="E172" s="406">
        <f>IF(Table58[[#This Row],[Piece Qty]]="", 0, perPiecePrice($A$145,Table58[[#This Row],[Description]],Table58[[#This Row],[Piece Qty]]))</f>
        <v>0</v>
      </c>
      <c r="F172" s="404">
        <f>Table58[[#This Row],[Set Up QTY]]*Table58[[#This Row],[Setup Price]]+Table58[[#This Row],[Piece Qty]]*Table58[[#This Row],[Price Ea.]]</f>
        <v>0</v>
      </c>
    </row>
    <row r="173" spans="1:6" ht="30" customHeight="1" x14ac:dyDescent="0.25">
      <c r="A173" s="391" t="s">
        <v>835</v>
      </c>
      <c r="C173" s="406">
        <f>IF(Table58[[#This Row],[Set Up QTY]]="", 0, setupPrice($A$145,Table58[[#This Row],[Description]]))</f>
        <v>0</v>
      </c>
      <c r="E173" s="406">
        <f>IF(Table58[[#This Row],[Piece Qty]]="", 0, perPiecePrice($A$145,Table58[[#This Row],[Description]],Table58[[#This Row],[Piece Qty]]))</f>
        <v>0</v>
      </c>
      <c r="F173" s="404">
        <f>Table58[[#This Row],[Set Up QTY]]*Table58[[#This Row],[Setup Price]]+Table58[[#This Row],[Piece Qty]]*Table58[[#This Row],[Price Ea.]]</f>
        <v>0</v>
      </c>
    </row>
  </sheetData>
  <pageMargins left="0.7" right="0.7" top="0.75" bottom="0.75" header="0.3" footer="0.3"/>
  <pageSetup scale="72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Pricing!$B$11:$B$49</xm:f>
          </x14:formula1>
          <xm:sqref>A35:A71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8"/>
  <sheetViews>
    <sheetView workbookViewId="0">
      <selection activeCell="D3" sqref="D3"/>
    </sheetView>
  </sheetViews>
  <sheetFormatPr defaultRowHeight="15" x14ac:dyDescent="0.25"/>
  <cols>
    <col min="1" max="1" width="16.28515625" customWidth="1"/>
    <col min="2" max="10" width="9.7109375" customWidth="1"/>
    <col min="11" max="11" width="10.7109375" customWidth="1"/>
  </cols>
  <sheetData>
    <row r="1" spans="1:11" x14ac:dyDescent="0.25">
      <c r="A1" t="s">
        <v>409</v>
      </c>
      <c r="B1" t="s">
        <v>412</v>
      </c>
      <c r="C1" t="s">
        <v>413</v>
      </c>
      <c r="D1" t="s">
        <v>414</v>
      </c>
      <c r="E1" t="s">
        <v>415</v>
      </c>
      <c r="F1" t="s">
        <v>416</v>
      </c>
      <c r="G1" t="s">
        <v>417</v>
      </c>
      <c r="H1" t="s">
        <v>418</v>
      </c>
      <c r="I1" t="s">
        <v>419</v>
      </c>
      <c r="J1" t="s">
        <v>420</v>
      </c>
      <c r="K1" t="s">
        <v>421</v>
      </c>
    </row>
    <row r="2" spans="1:11" x14ac:dyDescent="0.25">
      <c r="A2" t="s">
        <v>410</v>
      </c>
      <c r="B2" s="69">
        <v>0.05</v>
      </c>
      <c r="C2" s="69">
        <v>0.1</v>
      </c>
      <c r="D2" s="69">
        <v>0.15</v>
      </c>
      <c r="E2" s="69">
        <v>0.2</v>
      </c>
      <c r="F2" s="69">
        <v>0.25</v>
      </c>
      <c r="G2" s="69">
        <v>0.3</v>
      </c>
      <c r="H2" s="69">
        <v>0.35</v>
      </c>
      <c r="I2" s="69">
        <v>0.375</v>
      </c>
      <c r="J2" s="69">
        <v>0.4</v>
      </c>
      <c r="K2" s="69">
        <v>0.42499999999999999</v>
      </c>
    </row>
    <row r="3" spans="1:11" x14ac:dyDescent="0.25">
      <c r="A3" t="s">
        <v>411</v>
      </c>
      <c r="B3" s="69">
        <v>2.5000000000000001E-2</v>
      </c>
      <c r="C3" s="69">
        <v>0.05</v>
      </c>
      <c r="D3" s="69">
        <v>7.4999999999999997E-2</v>
      </c>
      <c r="E3" s="69">
        <v>0.1</v>
      </c>
      <c r="F3" s="69">
        <v>0.125</v>
      </c>
      <c r="G3" s="69">
        <v>0.15</v>
      </c>
      <c r="H3" s="69">
        <v>0.17499999999999999</v>
      </c>
      <c r="I3" s="69">
        <v>0.2</v>
      </c>
      <c r="J3" s="70"/>
      <c r="K3" s="70"/>
    </row>
    <row r="4" spans="1:11" x14ac:dyDescent="0.25">
      <c r="A4" t="s">
        <v>422</v>
      </c>
      <c r="B4" s="69">
        <v>7.4999999999999997E-2</v>
      </c>
      <c r="C4" s="69">
        <v>0.125</v>
      </c>
      <c r="D4" s="69">
        <v>0.17499999999999999</v>
      </c>
      <c r="E4" s="69">
        <v>0.2</v>
      </c>
      <c r="F4" s="69">
        <v>0.25</v>
      </c>
      <c r="G4" s="69">
        <v>0.3</v>
      </c>
      <c r="H4" s="69">
        <v>0.35</v>
      </c>
      <c r="I4" s="69">
        <v>0.4</v>
      </c>
      <c r="J4" s="69">
        <v>0.42499999999999999</v>
      </c>
      <c r="K4" s="69">
        <v>0.45</v>
      </c>
    </row>
    <row r="5" spans="1:11" x14ac:dyDescent="0.25">
      <c r="A5" t="s">
        <v>423</v>
      </c>
      <c r="B5" s="69">
        <v>0.25</v>
      </c>
      <c r="C5" s="69">
        <v>0.27500000000000002</v>
      </c>
      <c r="D5" s="69">
        <v>0.3</v>
      </c>
      <c r="E5" s="69">
        <v>0.35</v>
      </c>
      <c r="F5" s="69">
        <v>0.4</v>
      </c>
      <c r="G5" s="69">
        <v>0.45</v>
      </c>
      <c r="H5" s="69">
        <v>0.5</v>
      </c>
      <c r="I5" s="69">
        <v>0.55000000000000004</v>
      </c>
      <c r="J5" s="69">
        <v>0.57499999999999996</v>
      </c>
      <c r="K5" s="69">
        <v>0.6</v>
      </c>
    </row>
    <row r="6" spans="1:11" x14ac:dyDescent="0.25">
      <c r="A6" t="s">
        <v>424</v>
      </c>
      <c r="B6" s="69">
        <v>7.4999999999999997E-2</v>
      </c>
      <c r="C6" s="69">
        <v>0.125</v>
      </c>
      <c r="D6" s="69">
        <v>0.17499999999999999</v>
      </c>
      <c r="E6" s="69">
        <v>0.2</v>
      </c>
      <c r="F6" s="69">
        <v>0.22500000000000001</v>
      </c>
      <c r="G6" s="69">
        <v>0.25</v>
      </c>
      <c r="H6" s="69">
        <v>0.27500000000000002</v>
      </c>
      <c r="I6" s="69">
        <v>0.3</v>
      </c>
      <c r="J6" s="69">
        <v>0.32500000000000001</v>
      </c>
      <c r="K6" s="69">
        <v>0.35</v>
      </c>
    </row>
    <row r="7" spans="1:11" x14ac:dyDescent="0.25">
      <c r="A7" t="s">
        <v>425</v>
      </c>
      <c r="B7" s="69">
        <v>0.15</v>
      </c>
      <c r="C7" s="69">
        <v>0.25</v>
      </c>
      <c r="D7" s="69">
        <v>0.35</v>
      </c>
      <c r="E7" s="69">
        <v>0.4</v>
      </c>
      <c r="F7" s="69">
        <v>0.45</v>
      </c>
      <c r="G7" s="69">
        <v>0.5</v>
      </c>
      <c r="H7" s="69">
        <v>0.52</v>
      </c>
      <c r="I7" s="69">
        <v>0.53</v>
      </c>
      <c r="J7" s="69">
        <v>0.54</v>
      </c>
      <c r="K7" s="69">
        <v>0.55000000000000004</v>
      </c>
    </row>
    <row r="8" spans="1:11" x14ac:dyDescent="0.25">
      <c r="A8" t="s">
        <v>475</v>
      </c>
      <c r="B8" s="69">
        <v>7.4999999999999997E-2</v>
      </c>
      <c r="C8" s="69">
        <v>0.125</v>
      </c>
      <c r="D8" s="69">
        <v>0.17499999999999999</v>
      </c>
      <c r="E8" s="69">
        <v>0.2</v>
      </c>
      <c r="F8" s="69">
        <v>0.22500000000000001</v>
      </c>
      <c r="G8" s="69">
        <v>0.25</v>
      </c>
      <c r="H8" s="69">
        <v>0.27500000000000002</v>
      </c>
      <c r="I8" s="69">
        <v>0.3</v>
      </c>
      <c r="J8" s="69">
        <v>0.32500000000000001</v>
      </c>
      <c r="K8" s="69">
        <v>0.35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M24"/>
  <sheetViews>
    <sheetView zoomScaleNormal="100" workbookViewId="0">
      <selection activeCell="B4" sqref="B4"/>
    </sheetView>
  </sheetViews>
  <sheetFormatPr defaultRowHeight="12.75" x14ac:dyDescent="0.2"/>
  <cols>
    <col min="1" max="1" width="25" style="187" customWidth="1"/>
    <col min="2" max="6" width="19.140625" style="187" customWidth="1"/>
    <col min="7" max="7" width="4.7109375" style="187" customWidth="1"/>
    <col min="8" max="8" width="12.5703125" style="187" customWidth="1"/>
    <col min="9" max="9" width="42.140625" style="187" bestFit="1" customWidth="1"/>
    <col min="10" max="10" width="12.28515625" style="187" customWidth="1"/>
    <col min="11" max="16384" width="9.140625" style="187"/>
  </cols>
  <sheetData>
    <row r="1" spans="1:13" x14ac:dyDescent="0.2">
      <c r="A1" s="427" t="s">
        <v>26</v>
      </c>
      <c r="B1" s="428"/>
      <c r="C1" s="429"/>
      <c r="D1" s="32" t="s">
        <v>493</v>
      </c>
      <c r="E1" s="32" t="s">
        <v>494</v>
      </c>
      <c r="F1" s="33" t="s">
        <v>316</v>
      </c>
    </row>
    <row r="2" spans="1:13" ht="13.5" thickBot="1" x14ac:dyDescent="0.25">
      <c r="A2" s="430"/>
      <c r="B2" s="431"/>
      <c r="C2" s="432"/>
      <c r="D2" s="91"/>
      <c r="E2" s="92"/>
      <c r="F2" s="255"/>
    </row>
    <row r="3" spans="1:13" ht="13.5" thickBot="1" x14ac:dyDescent="0.25">
      <c r="A3" s="256"/>
      <c r="B3" s="125" t="s">
        <v>56</v>
      </c>
      <c r="C3" s="126" t="s">
        <v>57</v>
      </c>
      <c r="D3" s="126" t="s">
        <v>58</v>
      </c>
      <c r="E3" s="126" t="s">
        <v>59</v>
      </c>
      <c r="F3" s="127" t="s">
        <v>60</v>
      </c>
    </row>
    <row r="4" spans="1:13" s="281" customFormat="1" ht="29.25" customHeight="1" x14ac:dyDescent="0.2">
      <c r="A4" s="122" t="s">
        <v>496</v>
      </c>
      <c r="B4" s="257"/>
      <c r="C4" s="258"/>
      <c r="D4" s="258"/>
      <c r="E4" s="258"/>
      <c r="F4" s="259"/>
    </row>
    <row r="5" spans="1:13" s="281" customFormat="1" ht="29.25" customHeight="1" x14ac:dyDescent="0.2">
      <c r="A5" s="122" t="s">
        <v>497</v>
      </c>
      <c r="B5" s="295"/>
      <c r="C5" s="282"/>
      <c r="D5" s="282"/>
      <c r="E5" s="282"/>
      <c r="F5" s="283"/>
    </row>
    <row r="6" spans="1:13" s="281" customFormat="1" ht="29.25" customHeight="1" x14ac:dyDescent="0.2">
      <c r="A6" s="122" t="s">
        <v>498</v>
      </c>
      <c r="B6" s="120"/>
      <c r="C6" s="34"/>
      <c r="D6" s="34"/>
      <c r="E6" s="34"/>
      <c r="F6" s="48"/>
    </row>
    <row r="7" spans="1:13" s="281" customFormat="1" ht="29.25" customHeight="1" x14ac:dyDescent="0.2">
      <c r="A7" s="122" t="s">
        <v>499</v>
      </c>
      <c r="B7" s="120"/>
      <c r="C7" s="34"/>
      <c r="D7" s="34"/>
      <c r="E7" s="34"/>
      <c r="F7" s="48"/>
    </row>
    <row r="8" spans="1:13" s="281" customFormat="1" ht="29.25" customHeight="1" x14ac:dyDescent="0.2">
      <c r="A8" s="122" t="s">
        <v>500</v>
      </c>
      <c r="B8" s="120"/>
      <c r="C8" s="34"/>
      <c r="D8" s="34"/>
      <c r="E8" s="34"/>
      <c r="F8" s="48"/>
    </row>
    <row r="9" spans="1:13" s="281" customFormat="1" ht="29.25" customHeight="1" x14ac:dyDescent="0.2">
      <c r="A9" s="122" t="s">
        <v>75</v>
      </c>
      <c r="B9" s="120"/>
      <c r="C9" s="34"/>
      <c r="D9" s="34"/>
      <c r="E9" s="34"/>
      <c r="F9" s="48"/>
    </row>
    <row r="10" spans="1:13" ht="15.75" customHeight="1" x14ac:dyDescent="0.2">
      <c r="A10" s="135" t="s">
        <v>76</v>
      </c>
      <c r="B10" s="136"/>
      <c r="C10" s="137"/>
      <c r="D10" s="137"/>
      <c r="E10" s="137"/>
      <c r="F10" s="138"/>
      <c r="H10" s="263" t="s">
        <v>540</v>
      </c>
      <c r="I10" s="264" t="s">
        <v>715</v>
      </c>
    </row>
    <row r="11" spans="1:13" ht="15.75" customHeight="1" x14ac:dyDescent="0.2">
      <c r="A11" s="123" t="s">
        <v>77</v>
      </c>
      <c r="B11" s="121">
        <f t="shared" ref="B11:F11" si="0">IFERROR(ROUND(envPriceEach(B10,B$4:B$9),3),0)</f>
        <v>0</v>
      </c>
      <c r="C11" s="35">
        <f t="shared" si="0"/>
        <v>0</v>
      </c>
      <c r="D11" s="35">
        <f t="shared" si="0"/>
        <v>0</v>
      </c>
      <c r="E11" s="35">
        <f t="shared" si="0"/>
        <v>0</v>
      </c>
      <c r="F11" s="49">
        <f t="shared" si="0"/>
        <v>0</v>
      </c>
      <c r="H11" s="269"/>
      <c r="I11" s="264" t="s">
        <v>719</v>
      </c>
    </row>
    <row r="12" spans="1:13" ht="15.75" customHeight="1" x14ac:dyDescent="0.2">
      <c r="A12" s="123" t="s">
        <v>78</v>
      </c>
      <c r="B12" s="273">
        <f>B11*B10</f>
        <v>0</v>
      </c>
      <c r="C12" s="284">
        <f t="shared" ref="C12:F12" si="1">C11*C10</f>
        <v>0</v>
      </c>
      <c r="D12" s="284">
        <f t="shared" si="1"/>
        <v>0</v>
      </c>
      <c r="E12" s="284">
        <f t="shared" si="1"/>
        <v>0</v>
      </c>
      <c r="F12" s="285">
        <f t="shared" si="1"/>
        <v>0</v>
      </c>
      <c r="H12" s="270"/>
      <c r="I12" s="264" t="s">
        <v>720</v>
      </c>
    </row>
    <row r="13" spans="1:13" ht="15.75" customHeight="1" x14ac:dyDescent="0.2">
      <c r="A13" s="135" t="s">
        <v>79</v>
      </c>
      <c r="B13" s="136"/>
      <c r="C13" s="137"/>
      <c r="D13" s="137"/>
      <c r="E13" s="137"/>
      <c r="F13" s="138"/>
      <c r="H13" s="103"/>
    </row>
    <row r="14" spans="1:13" ht="15.75" customHeight="1" x14ac:dyDescent="0.2">
      <c r="A14" s="123" t="s">
        <v>77</v>
      </c>
      <c r="B14" s="121">
        <f t="shared" ref="B14:F14" si="2">IFERROR(ROUND(envPriceEach(B13,B$4:B$9),3),0)</f>
        <v>0</v>
      </c>
      <c r="C14" s="35">
        <f t="shared" si="2"/>
        <v>0</v>
      </c>
      <c r="D14" s="35">
        <f t="shared" si="2"/>
        <v>0</v>
      </c>
      <c r="E14" s="35">
        <f t="shared" si="2"/>
        <v>0</v>
      </c>
      <c r="F14" s="49">
        <f t="shared" si="2"/>
        <v>0</v>
      </c>
      <c r="H14" s="286"/>
      <c r="I14" s="286"/>
      <c r="J14" s="286"/>
      <c r="K14" s="286"/>
      <c r="L14" s="286"/>
      <c r="M14" s="286"/>
    </row>
    <row r="15" spans="1:13" ht="15.75" customHeight="1" x14ac:dyDescent="0.2">
      <c r="A15" s="123" t="s">
        <v>80</v>
      </c>
      <c r="B15" s="273">
        <f>B14*B13</f>
        <v>0</v>
      </c>
      <c r="C15" s="284">
        <f t="shared" ref="C15:F15" si="3">C14*C13</f>
        <v>0</v>
      </c>
      <c r="D15" s="284">
        <f t="shared" si="3"/>
        <v>0</v>
      </c>
      <c r="E15" s="284">
        <f t="shared" si="3"/>
        <v>0</v>
      </c>
      <c r="F15" s="285">
        <f t="shared" si="3"/>
        <v>0</v>
      </c>
    </row>
    <row r="16" spans="1:13" ht="15.75" customHeight="1" x14ac:dyDescent="0.2">
      <c r="A16" s="135" t="s">
        <v>81</v>
      </c>
      <c r="B16" s="136"/>
      <c r="C16" s="137"/>
      <c r="D16" s="137"/>
      <c r="E16" s="137"/>
      <c r="F16" s="138"/>
    </row>
    <row r="17" spans="1:9" ht="15.75" customHeight="1" x14ac:dyDescent="0.2">
      <c r="A17" s="123" t="s">
        <v>77</v>
      </c>
      <c r="B17" s="121">
        <f t="shared" ref="B17:F17" si="4">IFERROR(ROUND(envPriceEach(B16,B$4:B$9),3),0)</f>
        <v>0</v>
      </c>
      <c r="C17" s="35">
        <f t="shared" si="4"/>
        <v>0</v>
      </c>
      <c r="D17" s="35">
        <f t="shared" si="4"/>
        <v>0</v>
      </c>
      <c r="E17" s="35">
        <f t="shared" si="4"/>
        <v>0</v>
      </c>
      <c r="F17" s="49">
        <f t="shared" si="4"/>
        <v>0</v>
      </c>
      <c r="I17" s="287"/>
    </row>
    <row r="18" spans="1:9" ht="15.75" customHeight="1" x14ac:dyDescent="0.2">
      <c r="A18" s="123" t="s">
        <v>82</v>
      </c>
      <c r="B18" s="273">
        <f>B17*B16</f>
        <v>0</v>
      </c>
      <c r="C18" s="284">
        <f t="shared" ref="C18" si="5">C17*C16</f>
        <v>0</v>
      </c>
      <c r="D18" s="284">
        <f t="shared" ref="D18" si="6">D17*D16</f>
        <v>0</v>
      </c>
      <c r="E18" s="284">
        <f t="shared" ref="E18" si="7">E17*E16</f>
        <v>0</v>
      </c>
      <c r="F18" s="285">
        <f t="shared" ref="F18" si="8">F17*F16</f>
        <v>0</v>
      </c>
    </row>
    <row r="19" spans="1:9" ht="15.75" customHeight="1" x14ac:dyDescent="0.2">
      <c r="A19" s="135" t="s">
        <v>83</v>
      </c>
      <c r="B19" s="136"/>
      <c r="C19" s="137"/>
      <c r="D19" s="137"/>
      <c r="E19" s="137"/>
      <c r="F19" s="138"/>
    </row>
    <row r="20" spans="1:9" ht="15.75" customHeight="1" x14ac:dyDescent="0.2">
      <c r="A20" s="123" t="s">
        <v>77</v>
      </c>
      <c r="B20" s="121">
        <f t="shared" ref="B20:F20" si="9">IFERROR(ROUND(envPriceEach(B19,B$4:B$9),3),0)</f>
        <v>0</v>
      </c>
      <c r="C20" s="35">
        <f t="shared" si="9"/>
        <v>0</v>
      </c>
      <c r="D20" s="35">
        <f t="shared" si="9"/>
        <v>0</v>
      </c>
      <c r="E20" s="35">
        <f t="shared" si="9"/>
        <v>0</v>
      </c>
      <c r="F20" s="49">
        <f t="shared" si="9"/>
        <v>0</v>
      </c>
    </row>
    <row r="21" spans="1:9" ht="15.75" customHeight="1" x14ac:dyDescent="0.2">
      <c r="A21" s="123" t="s">
        <v>84</v>
      </c>
      <c r="B21" s="273">
        <f>B20*B19</f>
        <v>0</v>
      </c>
      <c r="C21" s="284">
        <f t="shared" ref="C21" si="10">C20*C19</f>
        <v>0</v>
      </c>
      <c r="D21" s="284">
        <f t="shared" ref="D21" si="11">D20*D19</f>
        <v>0</v>
      </c>
      <c r="E21" s="284">
        <f t="shared" ref="E21" si="12">E20*E19</f>
        <v>0</v>
      </c>
      <c r="F21" s="285">
        <f t="shared" ref="F21" si="13">F20*F19</f>
        <v>0</v>
      </c>
    </row>
    <row r="22" spans="1:9" ht="15.75" customHeight="1" x14ac:dyDescent="0.2">
      <c r="A22" s="135" t="s">
        <v>85</v>
      </c>
      <c r="B22" s="136"/>
      <c r="C22" s="137"/>
      <c r="D22" s="137"/>
      <c r="E22" s="137"/>
      <c r="F22" s="138"/>
    </row>
    <row r="23" spans="1:9" ht="15.75" customHeight="1" x14ac:dyDescent="0.2">
      <c r="A23" s="123" t="s">
        <v>77</v>
      </c>
      <c r="B23" s="121">
        <f t="shared" ref="B23:F23" si="14">IFERROR(ROUND(envPriceEach(B22,B$4:B$9),3),0)</f>
        <v>0</v>
      </c>
      <c r="C23" s="35">
        <f t="shared" si="14"/>
        <v>0</v>
      </c>
      <c r="D23" s="35">
        <f t="shared" si="14"/>
        <v>0</v>
      </c>
      <c r="E23" s="35">
        <f t="shared" si="14"/>
        <v>0</v>
      </c>
      <c r="F23" s="49">
        <f t="shared" si="14"/>
        <v>0</v>
      </c>
    </row>
    <row r="24" spans="1:9" ht="15.75" customHeight="1" thickBot="1" x14ac:dyDescent="0.25">
      <c r="A24" s="124" t="s">
        <v>86</v>
      </c>
      <c r="B24" s="278">
        <f>B23*B22</f>
        <v>0</v>
      </c>
      <c r="C24" s="288">
        <f t="shared" ref="C24" si="15">C23*C22</f>
        <v>0</v>
      </c>
      <c r="D24" s="288">
        <f t="shared" ref="D24" si="16">D23*D22</f>
        <v>0</v>
      </c>
      <c r="E24" s="288">
        <f t="shared" ref="E24" si="17">E23*E22</f>
        <v>0</v>
      </c>
      <c r="F24" s="289">
        <f t="shared" ref="F24" si="18">F23*F22</f>
        <v>0</v>
      </c>
    </row>
  </sheetData>
  <protectedRanges>
    <protectedRange sqref="A2:F2" name="Q1"/>
  </protectedRanges>
  <mergeCells count="2">
    <mergeCell ref="A1:C1"/>
    <mergeCell ref="A2:C2"/>
  </mergeCells>
  <conditionalFormatting sqref="B6:F6">
    <cfRule type="expression" dxfId="168" priority="7">
      <formula>IF(B$4 = "Five Maples Stock", TRUE, FALSE)</formula>
    </cfRule>
  </conditionalFormatting>
  <conditionalFormatting sqref="B18:F18 B21:F21 B24:F24">
    <cfRule type="expression" dxfId="167" priority="5">
      <formula>IF(envCostCheck(B$9,B$5,B$7,B$8,B17),TRUE,FALSE)</formula>
    </cfRule>
    <cfRule type="expression" dxfId="166" priority="6">
      <formula>IF(PrintTimeCheck(B$5, B$9, B16), TRUE,FALSE)</formula>
    </cfRule>
  </conditionalFormatting>
  <conditionalFormatting sqref="B12:F12">
    <cfRule type="expression" dxfId="165" priority="3">
      <formula>IF(envCostCheck(B$9,B$5,B$7,B$8,B11),TRUE,FALSE)</formula>
    </cfRule>
    <cfRule type="expression" dxfId="164" priority="4">
      <formula>IF(PrintTimeCheck(B$5, B$9, B10), TRUE,FALSE)</formula>
    </cfRule>
  </conditionalFormatting>
  <conditionalFormatting sqref="B15:F15">
    <cfRule type="expression" dxfId="163" priority="1">
      <formula>IF(envCostCheck(B$9,B$5,B$7,B$8,B14),TRUE,FALSE)</formula>
    </cfRule>
    <cfRule type="expression" dxfId="162" priority="2">
      <formula>IF(PrintTimeCheck(B$5, B$9, B13), TRUE,FALSE)</formula>
    </cfRule>
  </conditionalFormatting>
  <dataValidations count="4">
    <dataValidation type="list" allowBlank="1" showInputMessage="1" showErrorMessage="1" sqref="B5:F5">
      <formula1>INDIRECT("EnvType[EnvType]")</formula1>
    </dataValidation>
    <dataValidation type="list" allowBlank="1" showInputMessage="1" showErrorMessage="1" sqref="B4:F4">
      <formula1>INDIRECT("EnvSource[EnvSource]")</formula1>
    </dataValidation>
    <dataValidation type="list" allowBlank="1" showInputMessage="1" showErrorMessage="1" sqref="B9:F9">
      <formula1>INDIRECT("EnvVar[EnvVar]")</formula1>
    </dataValidation>
    <dataValidation type="list" allowBlank="1" showInputMessage="1" showErrorMessage="1" sqref="B7:F8">
      <formula1>INDIRECT("EnvColor[Color]")</formula1>
    </dataValidation>
  </dataValidations>
  <pageMargins left="0.7" right="0.7" top="0.75" bottom="0.75" header="0.3" footer="0.3"/>
  <pageSetup orientation="landscape" verticalDpi="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N28"/>
  <sheetViews>
    <sheetView view="pageBreakPreview" zoomScale="85" zoomScaleNormal="100" zoomScaleSheetLayoutView="85" workbookViewId="0">
      <selection activeCell="G4" sqref="G4"/>
    </sheetView>
  </sheetViews>
  <sheetFormatPr defaultRowHeight="15" x14ac:dyDescent="0.25"/>
  <cols>
    <col min="1" max="3" width="17.7109375" customWidth="1"/>
    <col min="4" max="4" width="23.7109375" customWidth="1"/>
    <col min="6" max="6" width="36.85546875" customWidth="1"/>
    <col min="7" max="7" width="8" customWidth="1"/>
    <col min="8" max="8" width="20.42578125" bestFit="1" customWidth="1"/>
    <col min="9" max="9" width="17.28515625" customWidth="1"/>
    <col min="10" max="10" width="19.140625" customWidth="1"/>
    <col min="11" max="11" width="10.5703125" customWidth="1"/>
    <col min="12" max="12" width="19.42578125" customWidth="1"/>
    <col min="13" max="13" width="16.28515625" customWidth="1"/>
    <col min="14" max="14" width="19.42578125" customWidth="1"/>
    <col min="15" max="15" width="19.140625" customWidth="1"/>
    <col min="17" max="18" width="19.140625" customWidth="1"/>
    <col min="19" max="22" width="20.140625" customWidth="1"/>
    <col min="24" max="25" width="20" customWidth="1"/>
    <col min="26" max="26" width="21.42578125" customWidth="1"/>
    <col min="27" max="27" width="18.140625" customWidth="1"/>
    <col min="28" max="28" width="30.85546875" customWidth="1"/>
    <col min="30" max="30" width="26.5703125" customWidth="1"/>
    <col min="31" max="31" width="28.42578125" customWidth="1"/>
    <col min="32" max="34" width="10.85546875" customWidth="1"/>
    <col min="36" max="36" width="19.140625" customWidth="1"/>
    <col min="37" max="37" width="18.140625" customWidth="1"/>
    <col min="38" max="38" width="21.42578125" customWidth="1"/>
    <col min="39" max="39" width="20" customWidth="1"/>
    <col min="40" max="40" width="17.85546875" customWidth="1"/>
  </cols>
  <sheetData>
    <row r="1" spans="1:40" x14ac:dyDescent="0.25">
      <c r="A1" s="107" t="s">
        <v>540</v>
      </c>
      <c r="B1" s="107" t="s">
        <v>4</v>
      </c>
      <c r="C1" s="107" t="s">
        <v>5</v>
      </c>
      <c r="D1" s="107" t="s">
        <v>501</v>
      </c>
      <c r="F1" s="104" t="s">
        <v>502</v>
      </c>
      <c r="G1" s="104" t="s">
        <v>211</v>
      </c>
      <c r="H1" s="104" t="s">
        <v>503</v>
      </c>
      <c r="I1" s="104" t="s">
        <v>504</v>
      </c>
      <c r="J1" s="113" t="s">
        <v>505</v>
      </c>
      <c r="L1" s="31" t="s">
        <v>533</v>
      </c>
      <c r="M1" s="108" t="s">
        <v>534</v>
      </c>
      <c r="O1" s="104" t="s">
        <v>539</v>
      </c>
      <c r="P1" s="104" t="s">
        <v>536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D1" t="s">
        <v>56</v>
      </c>
      <c r="AE1" t="s">
        <v>57</v>
      </c>
      <c r="AF1" t="s">
        <v>58</v>
      </c>
      <c r="AG1" t="s">
        <v>59</v>
      </c>
      <c r="AH1" t="s">
        <v>60</v>
      </c>
      <c r="AJ1" t="s">
        <v>56</v>
      </c>
      <c r="AK1" t="s">
        <v>57</v>
      </c>
      <c r="AL1" t="s">
        <v>58</v>
      </c>
      <c r="AM1" t="s">
        <v>59</v>
      </c>
      <c r="AN1" t="s">
        <v>60</v>
      </c>
    </row>
    <row r="2" spans="1:40" x14ac:dyDescent="0.25">
      <c r="A2" s="128">
        <v>0</v>
      </c>
      <c r="B2" s="129">
        <v>0</v>
      </c>
      <c r="C2" s="129">
        <v>0</v>
      </c>
      <c r="D2" s="105">
        <v>0</v>
      </c>
      <c r="F2" s="111" t="s">
        <v>506</v>
      </c>
      <c r="G2" s="105">
        <v>2.035E-2</v>
      </c>
      <c r="H2" s="112">
        <v>2000</v>
      </c>
      <c r="I2" s="113">
        <v>0.15</v>
      </c>
      <c r="J2" s="132">
        <v>0</v>
      </c>
      <c r="L2" s="117" t="s">
        <v>1</v>
      </c>
      <c r="M2" s="108">
        <v>0</v>
      </c>
      <c r="O2" s="104" t="s">
        <v>25</v>
      </c>
      <c r="P2" s="110">
        <v>1.3</v>
      </c>
      <c r="R2" t="s">
        <v>541</v>
      </c>
      <c r="S2" t="s">
        <v>541</v>
      </c>
      <c r="T2" t="s">
        <v>541</v>
      </c>
      <c r="U2" t="s">
        <v>541</v>
      </c>
      <c r="X2" t="s">
        <v>541</v>
      </c>
      <c r="Y2" t="s">
        <v>541</v>
      </c>
      <c r="Z2" t="s">
        <v>541</v>
      </c>
      <c r="AA2" t="s">
        <v>541</v>
      </c>
      <c r="AB2" t="s">
        <v>541</v>
      </c>
      <c r="AD2" t="s">
        <v>541</v>
      </c>
      <c r="AE2" t="s">
        <v>541</v>
      </c>
      <c r="AJ2" t="s">
        <v>541</v>
      </c>
      <c r="AK2" t="s">
        <v>541</v>
      </c>
      <c r="AL2" t="s">
        <v>541</v>
      </c>
      <c r="AM2" t="s">
        <v>541</v>
      </c>
      <c r="AN2" t="s">
        <v>541</v>
      </c>
    </row>
    <row r="3" spans="1:40" x14ac:dyDescent="0.25">
      <c r="A3" s="128" t="s">
        <v>6</v>
      </c>
      <c r="B3" s="129">
        <v>0.06</v>
      </c>
      <c r="C3" s="129">
        <v>0.06</v>
      </c>
      <c r="D3" s="105">
        <v>8.0000000000000002E-3</v>
      </c>
      <c r="F3" s="111" t="s">
        <v>507</v>
      </c>
      <c r="G3" s="109">
        <v>3.073E-2</v>
      </c>
      <c r="H3" s="112">
        <v>750</v>
      </c>
      <c r="I3" s="113">
        <v>0.4</v>
      </c>
      <c r="J3" s="132">
        <v>4000</v>
      </c>
      <c r="L3" s="104" t="s">
        <v>2</v>
      </c>
      <c r="M3" s="118">
        <v>1</v>
      </c>
      <c r="O3" s="119" t="s">
        <v>26</v>
      </c>
      <c r="P3" s="110"/>
      <c r="R3" t="s">
        <v>524</v>
      </c>
      <c r="S3" t="s">
        <v>524</v>
      </c>
      <c r="T3" t="s">
        <v>524</v>
      </c>
      <c r="U3" t="s">
        <v>518</v>
      </c>
      <c r="X3" t="s">
        <v>527</v>
      </c>
      <c r="Y3" t="s">
        <v>507</v>
      </c>
      <c r="Z3" t="s">
        <v>528</v>
      </c>
      <c r="AA3" t="s">
        <v>518</v>
      </c>
      <c r="AB3" t="s">
        <v>508</v>
      </c>
      <c r="AD3" t="s">
        <v>515</v>
      </c>
      <c r="AE3" t="s">
        <v>512</v>
      </c>
      <c r="AJ3" t="s">
        <v>524</v>
      </c>
      <c r="AK3" t="s">
        <v>518</v>
      </c>
      <c r="AL3" t="s">
        <v>528</v>
      </c>
      <c r="AM3" t="s">
        <v>507</v>
      </c>
      <c r="AN3" t="s">
        <v>520</v>
      </c>
    </row>
    <row r="4" spans="1:40" x14ac:dyDescent="0.25">
      <c r="A4" s="128">
        <v>1</v>
      </c>
      <c r="B4" s="129">
        <v>2</v>
      </c>
      <c r="C4" s="129">
        <v>1</v>
      </c>
      <c r="D4" s="105">
        <v>0.01</v>
      </c>
      <c r="F4" s="111" t="s">
        <v>508</v>
      </c>
      <c r="G4" s="109">
        <v>7.5069999999999998E-2</v>
      </c>
      <c r="H4" s="112">
        <v>1500</v>
      </c>
      <c r="I4" s="113">
        <v>0.15</v>
      </c>
      <c r="J4" s="132">
        <v>0</v>
      </c>
      <c r="L4" s="119" t="s">
        <v>535</v>
      </c>
      <c r="M4" s="118">
        <v>1.2</v>
      </c>
      <c r="O4" s="119" t="s">
        <v>537</v>
      </c>
      <c r="P4" s="110"/>
    </row>
    <row r="5" spans="1:40" x14ac:dyDescent="0.25">
      <c r="A5" s="128">
        <v>2</v>
      </c>
      <c r="B5" s="129">
        <v>2</v>
      </c>
      <c r="C5" s="129">
        <v>1</v>
      </c>
      <c r="D5" s="105">
        <v>0.01</v>
      </c>
      <c r="F5" s="111" t="s">
        <v>509</v>
      </c>
      <c r="G5" s="109">
        <v>3.5569999999999997E-2</v>
      </c>
      <c r="H5" s="112">
        <v>1800</v>
      </c>
      <c r="I5" s="113">
        <v>0.2</v>
      </c>
      <c r="J5" s="132">
        <v>0</v>
      </c>
      <c r="O5" s="119" t="s">
        <v>538</v>
      </c>
      <c r="P5" s="110"/>
      <c r="R5">
        <v>4</v>
      </c>
      <c r="S5">
        <v>2</v>
      </c>
      <c r="T5" t="s">
        <v>6</v>
      </c>
      <c r="U5" t="s">
        <v>6</v>
      </c>
      <c r="X5">
        <v>2</v>
      </c>
      <c r="Y5">
        <v>2</v>
      </c>
      <c r="Z5">
        <v>2</v>
      </c>
      <c r="AA5" t="s">
        <v>6</v>
      </c>
      <c r="AB5" t="s">
        <v>6</v>
      </c>
      <c r="AD5">
        <v>4</v>
      </c>
      <c r="AE5">
        <v>2</v>
      </c>
      <c r="AJ5">
        <v>2</v>
      </c>
      <c r="AK5" t="s">
        <v>6</v>
      </c>
      <c r="AL5">
        <v>4</v>
      </c>
      <c r="AM5">
        <v>2</v>
      </c>
      <c r="AN5">
        <v>2</v>
      </c>
    </row>
    <row r="6" spans="1:40" x14ac:dyDescent="0.25">
      <c r="A6" s="128">
        <v>3</v>
      </c>
      <c r="B6" s="129">
        <v>6.5</v>
      </c>
      <c r="C6" s="129">
        <v>7.5</v>
      </c>
      <c r="D6" s="105">
        <v>0.01</v>
      </c>
      <c r="F6" s="111" t="s">
        <v>510</v>
      </c>
      <c r="G6" s="109">
        <v>3.1269999999999999E-2</v>
      </c>
      <c r="H6" s="112">
        <v>1800</v>
      </c>
      <c r="I6" s="113">
        <v>0.2</v>
      </c>
      <c r="J6" s="132">
        <v>0</v>
      </c>
      <c r="R6">
        <v>0</v>
      </c>
      <c r="S6">
        <v>0</v>
      </c>
      <c r="T6">
        <v>0</v>
      </c>
      <c r="U6">
        <v>0</v>
      </c>
      <c r="X6">
        <v>0</v>
      </c>
      <c r="Y6">
        <v>2</v>
      </c>
      <c r="Z6">
        <v>0</v>
      </c>
      <c r="AA6">
        <v>0</v>
      </c>
      <c r="AB6">
        <v>0</v>
      </c>
      <c r="AD6">
        <v>0</v>
      </c>
      <c r="AE6">
        <v>0</v>
      </c>
      <c r="AJ6">
        <v>0</v>
      </c>
      <c r="AK6">
        <v>0</v>
      </c>
      <c r="AL6">
        <v>0</v>
      </c>
      <c r="AM6">
        <v>0</v>
      </c>
      <c r="AN6">
        <v>0</v>
      </c>
    </row>
    <row r="7" spans="1:40" x14ac:dyDescent="0.25">
      <c r="A7" s="130">
        <v>4</v>
      </c>
      <c r="B7" s="131">
        <v>6.5</v>
      </c>
      <c r="C7" s="131">
        <v>7.5</v>
      </c>
      <c r="D7" s="105">
        <v>0.01</v>
      </c>
      <c r="F7" s="111" t="s">
        <v>511</v>
      </c>
      <c r="G7" s="109">
        <v>3.4669999999999999E-2</v>
      </c>
      <c r="H7" s="112">
        <v>2000</v>
      </c>
      <c r="I7" s="113">
        <v>0.2</v>
      </c>
      <c r="J7" s="132">
        <v>0</v>
      </c>
      <c r="R7" t="s">
        <v>1</v>
      </c>
      <c r="S7" t="s">
        <v>1</v>
      </c>
      <c r="T7" t="s">
        <v>1</v>
      </c>
      <c r="U7" t="s">
        <v>1</v>
      </c>
      <c r="X7" t="s">
        <v>1</v>
      </c>
      <c r="Y7" t="s">
        <v>1</v>
      </c>
      <c r="Z7" t="s">
        <v>1</v>
      </c>
      <c r="AA7" t="s">
        <v>1</v>
      </c>
      <c r="AB7" t="s">
        <v>1</v>
      </c>
      <c r="AD7" t="s">
        <v>1</v>
      </c>
      <c r="AE7" t="s">
        <v>1</v>
      </c>
      <c r="AJ7" t="s">
        <v>1</v>
      </c>
      <c r="AK7" t="s">
        <v>1</v>
      </c>
      <c r="AL7" t="s">
        <v>1</v>
      </c>
      <c r="AM7" t="s">
        <v>1</v>
      </c>
      <c r="AN7" t="s">
        <v>1</v>
      </c>
    </row>
    <row r="8" spans="1:40" x14ac:dyDescent="0.25">
      <c r="A8" s="106"/>
      <c r="B8" s="106"/>
      <c r="C8" s="106"/>
      <c r="D8" s="106"/>
      <c r="F8" s="114" t="s">
        <v>512</v>
      </c>
      <c r="G8" s="109">
        <v>3.5900000000000001E-2</v>
      </c>
      <c r="H8" s="112">
        <v>2000</v>
      </c>
      <c r="I8" s="113">
        <v>0.15</v>
      </c>
      <c r="J8" s="132">
        <v>0</v>
      </c>
      <c r="R8">
        <v>1000</v>
      </c>
      <c r="S8">
        <v>1000</v>
      </c>
      <c r="T8">
        <v>1000</v>
      </c>
      <c r="U8">
        <v>1000</v>
      </c>
      <c r="X8">
        <v>1000</v>
      </c>
      <c r="Y8">
        <v>1000</v>
      </c>
      <c r="Z8">
        <v>1000</v>
      </c>
      <c r="AA8">
        <v>1000</v>
      </c>
      <c r="AB8">
        <v>1000</v>
      </c>
      <c r="AD8">
        <v>1000</v>
      </c>
      <c r="AE8">
        <v>1000</v>
      </c>
      <c r="AF8">
        <v>0</v>
      </c>
      <c r="AG8">
        <v>0</v>
      </c>
      <c r="AH8">
        <v>0</v>
      </c>
      <c r="AJ8">
        <v>1000</v>
      </c>
      <c r="AK8">
        <v>1000</v>
      </c>
      <c r="AL8">
        <v>1000</v>
      </c>
      <c r="AM8">
        <v>1000</v>
      </c>
      <c r="AN8">
        <v>1000</v>
      </c>
    </row>
    <row r="9" spans="1:40" x14ac:dyDescent="0.25">
      <c r="A9" s="106"/>
      <c r="B9" s="106"/>
      <c r="C9" s="106"/>
      <c r="D9" s="106"/>
      <c r="F9" s="114" t="s">
        <v>513</v>
      </c>
      <c r="G9" s="109">
        <v>2.8230000000000002E-2</v>
      </c>
      <c r="H9" s="112">
        <v>2000</v>
      </c>
      <c r="I9" s="113">
        <v>0.15</v>
      </c>
      <c r="J9" s="132">
        <v>0</v>
      </c>
    </row>
    <row r="10" spans="1:40" x14ac:dyDescent="0.25">
      <c r="A10" s="106"/>
      <c r="B10" s="106"/>
      <c r="C10" s="106"/>
      <c r="D10" s="106"/>
      <c r="F10" s="111" t="s">
        <v>514</v>
      </c>
      <c r="G10" s="109">
        <v>4.1700000000000001E-2</v>
      </c>
      <c r="H10" s="112">
        <v>2000</v>
      </c>
      <c r="I10" s="113">
        <v>0.15</v>
      </c>
      <c r="J10" s="132">
        <v>0</v>
      </c>
    </row>
    <row r="11" spans="1:40" x14ac:dyDescent="0.25">
      <c r="A11" s="106"/>
      <c r="B11" s="106"/>
      <c r="C11" s="106"/>
      <c r="D11" s="106"/>
      <c r="F11" s="111" t="s">
        <v>515</v>
      </c>
      <c r="G11" s="109">
        <v>2.836E-2</v>
      </c>
      <c r="H11" s="112">
        <v>2000</v>
      </c>
      <c r="I11" s="113">
        <v>0.15</v>
      </c>
      <c r="J11" s="132">
        <v>0</v>
      </c>
    </row>
    <row r="12" spans="1:40" x14ac:dyDescent="0.25">
      <c r="A12" s="106"/>
      <c r="B12" s="106"/>
      <c r="C12" s="106"/>
      <c r="D12" s="106"/>
      <c r="F12" s="111" t="s">
        <v>516</v>
      </c>
      <c r="G12" s="109">
        <v>9.4500000000000001E-2</v>
      </c>
      <c r="H12" s="112">
        <v>2000</v>
      </c>
      <c r="I12" s="113">
        <v>0.15</v>
      </c>
      <c r="J12" s="132">
        <v>0</v>
      </c>
    </row>
    <row r="13" spans="1:40" x14ac:dyDescent="0.25">
      <c r="F13" s="111" t="s">
        <v>517</v>
      </c>
      <c r="G13" s="109">
        <v>3.9780000000000003E-2</v>
      </c>
      <c r="H13" s="112">
        <v>2000</v>
      </c>
      <c r="I13" s="113">
        <v>0.15</v>
      </c>
      <c r="J13" s="132">
        <v>0</v>
      </c>
    </row>
    <row r="14" spans="1:40" x14ac:dyDescent="0.25">
      <c r="F14" s="111" t="s">
        <v>518</v>
      </c>
      <c r="G14" s="105">
        <v>1.89E-2</v>
      </c>
      <c r="H14" s="112">
        <v>3000</v>
      </c>
      <c r="I14" s="113">
        <v>0.15</v>
      </c>
      <c r="J14" s="132">
        <v>0</v>
      </c>
    </row>
    <row r="15" spans="1:40" x14ac:dyDescent="0.25">
      <c r="F15" s="111" t="s">
        <v>519</v>
      </c>
      <c r="G15" s="115">
        <v>9.4E-2</v>
      </c>
      <c r="H15" s="112">
        <v>2500</v>
      </c>
      <c r="I15" s="113">
        <v>0.15</v>
      </c>
      <c r="J15" s="132">
        <v>0</v>
      </c>
    </row>
    <row r="16" spans="1:40" x14ac:dyDescent="0.25">
      <c r="F16" s="111" t="s">
        <v>520</v>
      </c>
      <c r="G16" s="105">
        <v>2.9649999999999999E-2</v>
      </c>
      <c r="H16" s="112">
        <v>750</v>
      </c>
      <c r="I16" s="113">
        <v>0.4</v>
      </c>
      <c r="J16" s="132">
        <v>4000</v>
      </c>
      <c r="L16" s="133"/>
    </row>
    <row r="17" spans="6:12" x14ac:dyDescent="0.25">
      <c r="F17" s="111" t="s">
        <v>521</v>
      </c>
      <c r="G17" s="115">
        <v>4.7849999999999997E-2</v>
      </c>
      <c r="H17" s="112">
        <v>2500</v>
      </c>
      <c r="I17" s="113">
        <v>0.15</v>
      </c>
      <c r="J17" s="132">
        <v>0</v>
      </c>
    </row>
    <row r="18" spans="6:12" x14ac:dyDescent="0.25">
      <c r="F18" s="111" t="s">
        <v>522</v>
      </c>
      <c r="G18" s="116">
        <v>7.8450000000000006E-2</v>
      </c>
      <c r="H18" s="112">
        <v>2500</v>
      </c>
      <c r="I18" s="113">
        <v>0.15</v>
      </c>
      <c r="J18" s="132">
        <v>0</v>
      </c>
    </row>
    <row r="19" spans="6:12" x14ac:dyDescent="0.25">
      <c r="F19" s="111" t="s">
        <v>523</v>
      </c>
      <c r="G19" s="115">
        <v>7.0199999999999999E-2</v>
      </c>
      <c r="H19" s="112">
        <v>2500</v>
      </c>
      <c r="I19" s="113">
        <v>0.15</v>
      </c>
      <c r="J19" s="132">
        <v>0</v>
      </c>
      <c r="L19" s="134"/>
    </row>
    <row r="20" spans="6:12" x14ac:dyDescent="0.25">
      <c r="F20" s="111" t="s">
        <v>524</v>
      </c>
      <c r="G20" s="105">
        <v>1.89E-2</v>
      </c>
      <c r="H20" s="112">
        <v>2500</v>
      </c>
      <c r="I20" s="113">
        <v>0.15</v>
      </c>
      <c r="J20" s="132">
        <v>0</v>
      </c>
    </row>
    <row r="21" spans="6:12" x14ac:dyDescent="0.25">
      <c r="F21" s="111" t="s">
        <v>525</v>
      </c>
      <c r="G21" s="105">
        <v>2.6409999999999999E-2</v>
      </c>
      <c r="H21" s="112">
        <v>2500</v>
      </c>
      <c r="I21" s="113">
        <v>0.15</v>
      </c>
      <c r="J21" s="132">
        <v>0</v>
      </c>
    </row>
    <row r="22" spans="6:12" x14ac:dyDescent="0.25">
      <c r="F22" s="111" t="s">
        <v>526</v>
      </c>
      <c r="G22" s="105">
        <v>5.5370000000000003E-2</v>
      </c>
      <c r="H22" s="112">
        <v>2000</v>
      </c>
      <c r="I22" s="113">
        <v>0.4</v>
      </c>
      <c r="J22" s="132">
        <v>0</v>
      </c>
    </row>
    <row r="23" spans="6:12" x14ac:dyDescent="0.25">
      <c r="F23" s="111" t="s">
        <v>527</v>
      </c>
      <c r="G23" s="105">
        <v>3.3939999999999998E-2</v>
      </c>
      <c r="H23" s="112">
        <v>1200</v>
      </c>
      <c r="I23" s="113">
        <v>0.4</v>
      </c>
      <c r="J23" s="132">
        <v>0</v>
      </c>
    </row>
    <row r="24" spans="6:12" x14ac:dyDescent="0.25">
      <c r="F24" s="111" t="s">
        <v>528</v>
      </c>
      <c r="G24" s="105">
        <v>3.4500000000000003E-2</v>
      </c>
      <c r="H24" s="112">
        <v>1200</v>
      </c>
      <c r="I24" s="113">
        <v>0.4</v>
      </c>
      <c r="J24" s="132">
        <v>0</v>
      </c>
    </row>
    <row r="25" spans="6:12" x14ac:dyDescent="0.25">
      <c r="F25" s="111" t="s">
        <v>529</v>
      </c>
      <c r="G25" s="105">
        <v>6.1039999999999997E-2</v>
      </c>
      <c r="H25" s="112">
        <v>1200</v>
      </c>
      <c r="I25" s="113">
        <v>0.4</v>
      </c>
      <c r="J25" s="132">
        <v>0</v>
      </c>
    </row>
    <row r="26" spans="6:12" x14ac:dyDescent="0.25">
      <c r="F26" s="111" t="s">
        <v>530</v>
      </c>
      <c r="G26" s="105">
        <v>4.36E-2</v>
      </c>
      <c r="H26" s="112">
        <v>750</v>
      </c>
      <c r="I26" s="113">
        <v>0.4</v>
      </c>
      <c r="J26" s="132">
        <v>0</v>
      </c>
    </row>
    <row r="27" spans="6:12" x14ac:dyDescent="0.25">
      <c r="F27" s="111" t="s">
        <v>531</v>
      </c>
      <c r="G27" s="105">
        <v>5.7299999999999997E-2</v>
      </c>
      <c r="H27" s="112">
        <v>750</v>
      </c>
      <c r="I27" s="113">
        <v>0.4</v>
      </c>
      <c r="J27" s="132">
        <v>0</v>
      </c>
    </row>
    <row r="28" spans="6:12" x14ac:dyDescent="0.25">
      <c r="F28" s="111" t="s">
        <v>532</v>
      </c>
      <c r="G28" s="109">
        <v>7.1999999999999995E-2</v>
      </c>
      <c r="H28" s="112">
        <v>750</v>
      </c>
      <c r="I28" s="113">
        <v>0.4</v>
      </c>
      <c r="J28" s="132">
        <v>0</v>
      </c>
    </row>
  </sheetData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9"/>
  <sheetViews>
    <sheetView tabSelected="1" zoomScaleNormal="100" workbookViewId="0">
      <selection activeCell="C16" sqref="C16"/>
    </sheetView>
  </sheetViews>
  <sheetFormatPr defaultRowHeight="12.75" x14ac:dyDescent="0.2"/>
  <cols>
    <col min="1" max="1" width="30.85546875" style="187" customWidth="1"/>
    <col min="2" max="6" width="25" style="187" customWidth="1"/>
    <col min="7" max="7" width="4.7109375" style="187" customWidth="1"/>
    <col min="8" max="8" width="11" style="187" customWidth="1"/>
    <col min="9" max="9" width="45.5703125" style="187" customWidth="1"/>
    <col min="10" max="10" width="11.5703125" style="187" customWidth="1"/>
    <col min="11" max="16384" width="9.140625" style="187"/>
  </cols>
  <sheetData>
    <row r="1" spans="1:13" ht="15" customHeight="1" x14ac:dyDescent="0.2">
      <c r="A1" s="427" t="s">
        <v>26</v>
      </c>
      <c r="B1" s="428"/>
      <c r="C1" s="429"/>
      <c r="D1" s="32" t="s">
        <v>493</v>
      </c>
      <c r="E1" s="32" t="s">
        <v>494</v>
      </c>
      <c r="F1" s="33" t="s">
        <v>316</v>
      </c>
    </row>
    <row r="2" spans="1:13" ht="13.5" thickBot="1" x14ac:dyDescent="0.25">
      <c r="A2" s="430"/>
      <c r="B2" s="431"/>
      <c r="C2" s="432"/>
      <c r="D2" s="91"/>
      <c r="E2" s="92"/>
      <c r="F2" s="255"/>
    </row>
    <row r="3" spans="1:13" ht="13.5" thickBot="1" x14ac:dyDescent="0.25">
      <c r="A3" s="256"/>
      <c r="B3" s="95" t="s">
        <v>56</v>
      </c>
      <c r="C3" s="93" t="s">
        <v>57</v>
      </c>
      <c r="D3" s="93" t="s">
        <v>58</v>
      </c>
      <c r="E3" s="93" t="s">
        <v>59</v>
      </c>
      <c r="F3" s="94" t="s">
        <v>60</v>
      </c>
    </row>
    <row r="4" spans="1:13" ht="28.5" customHeight="1" x14ac:dyDescent="0.2">
      <c r="A4" s="96" t="s">
        <v>23</v>
      </c>
      <c r="B4" s="257" t="s">
        <v>13</v>
      </c>
      <c r="C4" s="257" t="s">
        <v>13</v>
      </c>
      <c r="D4" s="258"/>
      <c r="E4" s="258"/>
      <c r="F4" s="259"/>
    </row>
    <row r="5" spans="1:13" ht="28.5" customHeight="1" x14ac:dyDescent="0.2">
      <c r="A5" s="96" t="s">
        <v>61</v>
      </c>
      <c r="B5" s="260" t="s">
        <v>28</v>
      </c>
      <c r="C5" s="261" t="s">
        <v>27</v>
      </c>
      <c r="D5" s="261"/>
      <c r="E5" s="261"/>
      <c r="F5" s="262"/>
    </row>
    <row r="6" spans="1:13" ht="28.5" customHeight="1" x14ac:dyDescent="0.2">
      <c r="A6" s="97" t="s">
        <v>62</v>
      </c>
      <c r="B6" s="120" t="s">
        <v>88</v>
      </c>
      <c r="C6" s="120" t="s">
        <v>88</v>
      </c>
      <c r="D6" s="34"/>
      <c r="E6" s="34"/>
      <c r="F6" s="48"/>
    </row>
    <row r="7" spans="1:13" ht="28.5" customHeight="1" x14ac:dyDescent="0.2">
      <c r="A7" s="97" t="s">
        <v>67</v>
      </c>
      <c r="B7" s="120" t="s">
        <v>181</v>
      </c>
      <c r="C7" s="120" t="s">
        <v>181</v>
      </c>
      <c r="D7" s="34"/>
      <c r="E7" s="34"/>
      <c r="F7" s="48"/>
    </row>
    <row r="8" spans="1:13" ht="28.5" customHeight="1" x14ac:dyDescent="0.2">
      <c r="A8" s="97" t="s">
        <v>70</v>
      </c>
      <c r="B8" s="120"/>
      <c r="C8" s="34"/>
      <c r="D8" s="34"/>
      <c r="E8" s="34"/>
      <c r="F8" s="48"/>
    </row>
    <row r="9" spans="1:13" ht="28.5" customHeight="1" x14ac:dyDescent="0.2">
      <c r="A9" s="97" t="s">
        <v>71</v>
      </c>
      <c r="B9" s="120"/>
      <c r="C9" s="34"/>
      <c r="D9" s="34"/>
      <c r="E9" s="34"/>
      <c r="F9" s="48"/>
    </row>
    <row r="10" spans="1:13" ht="28.5" customHeight="1" x14ac:dyDescent="0.2">
      <c r="A10" s="97" t="s">
        <v>492</v>
      </c>
      <c r="B10" s="260"/>
      <c r="C10" s="261"/>
      <c r="D10" s="261"/>
      <c r="E10" s="261"/>
      <c r="F10" s="262"/>
      <c r="H10" s="263" t="s">
        <v>540</v>
      </c>
      <c r="I10" s="264" t="s">
        <v>715</v>
      </c>
      <c r="J10" s="264"/>
      <c r="K10" s="264"/>
      <c r="L10" s="264"/>
    </row>
    <row r="11" spans="1:13" ht="28.5" customHeight="1" x14ac:dyDescent="0.2">
      <c r="A11" s="98" t="s">
        <v>72</v>
      </c>
      <c r="B11" s="265"/>
      <c r="C11" s="266"/>
      <c r="D11" s="266"/>
      <c r="E11" s="266"/>
      <c r="F11" s="267"/>
      <c r="H11" s="268"/>
      <c r="I11" s="296" t="s">
        <v>714</v>
      </c>
      <c r="J11" s="264"/>
      <c r="K11" s="264"/>
      <c r="L11" s="264"/>
    </row>
    <row r="12" spans="1:13" ht="28.5" customHeight="1" x14ac:dyDescent="0.2">
      <c r="A12" s="96" t="s">
        <v>73</v>
      </c>
      <c r="B12" s="120">
        <v>4</v>
      </c>
      <c r="C12" s="120">
        <v>4</v>
      </c>
      <c r="D12" s="34"/>
      <c r="E12" s="34"/>
      <c r="F12" s="48"/>
      <c r="H12" s="269"/>
      <c r="I12" s="296" t="s">
        <v>716</v>
      </c>
      <c r="J12" s="264"/>
      <c r="K12" s="264"/>
      <c r="L12" s="264"/>
    </row>
    <row r="13" spans="1:13" ht="28.5" customHeight="1" x14ac:dyDescent="0.2">
      <c r="A13" s="96" t="s">
        <v>74</v>
      </c>
      <c r="B13" s="120">
        <v>2</v>
      </c>
      <c r="C13" s="120">
        <v>2</v>
      </c>
      <c r="D13" s="34"/>
      <c r="E13" s="34"/>
      <c r="F13" s="48"/>
      <c r="H13" s="270"/>
      <c r="I13" s="296" t="s">
        <v>717</v>
      </c>
      <c r="J13" s="264"/>
      <c r="K13" s="264"/>
      <c r="L13" s="271"/>
      <c r="M13" s="271"/>
    </row>
    <row r="14" spans="1:13" ht="28.5" customHeight="1" x14ac:dyDescent="0.2">
      <c r="A14" s="96" t="s">
        <v>75</v>
      </c>
      <c r="B14" s="260" t="s">
        <v>2</v>
      </c>
      <c r="C14" s="260" t="s">
        <v>2</v>
      </c>
      <c r="D14" s="261"/>
      <c r="E14" s="261"/>
      <c r="F14" s="262"/>
      <c r="I14" s="264"/>
      <c r="J14" s="264"/>
      <c r="K14" s="264"/>
      <c r="L14" s="271"/>
      <c r="M14" s="271"/>
    </row>
    <row r="15" spans="1:13" x14ac:dyDescent="0.2">
      <c r="A15" s="139" t="s">
        <v>76</v>
      </c>
      <c r="B15" s="136">
        <v>1000</v>
      </c>
      <c r="C15" s="136">
        <v>1000</v>
      </c>
      <c r="D15" s="137"/>
      <c r="E15" s="137"/>
      <c r="F15" s="138"/>
      <c r="H15" s="271"/>
      <c r="I15" s="264"/>
      <c r="J15" s="264"/>
      <c r="K15" s="264"/>
      <c r="L15" s="271"/>
      <c r="M15" s="271"/>
    </row>
    <row r="16" spans="1:13" x14ac:dyDescent="0.2">
      <c r="A16" s="99" t="s">
        <v>77</v>
      </c>
      <c r="B16" s="121">
        <f ca="1">IFERROR(ROUND(priceEach(B15,B$4:B$14),3), 0)</f>
        <v>0</v>
      </c>
      <c r="C16" s="35">
        <f ca="1">IFERROR(ROUND(priceEach(C15,C$4:C$14),3), 0)</f>
        <v>0</v>
      </c>
      <c r="D16" s="35">
        <f>IFERROR(ROUND(priceEach(D15,D$4:D$14),3), 0)</f>
        <v>0</v>
      </c>
      <c r="E16" s="35">
        <f>IFERROR(ROUND(priceEach(E15,E$4:E$14),3), 0)</f>
        <v>0</v>
      </c>
      <c r="F16" s="49">
        <f>IFERROR(ROUND(priceEach(F15,F$4:F$14),3), 0)</f>
        <v>0</v>
      </c>
      <c r="H16" s="272"/>
      <c r="I16" s="264"/>
      <c r="J16" s="264"/>
      <c r="K16" s="264"/>
      <c r="L16" s="271"/>
      <c r="M16" s="271"/>
    </row>
    <row r="17" spans="1:13" x14ac:dyDescent="0.2">
      <c r="A17" s="99" t="s">
        <v>78</v>
      </c>
      <c r="B17" s="273">
        <f ca="1">B16*B15</f>
        <v>0</v>
      </c>
      <c r="C17" s="274">
        <f t="shared" ref="C17:F17" ca="1" si="0">C16*C15</f>
        <v>0</v>
      </c>
      <c r="D17" s="274">
        <f t="shared" si="0"/>
        <v>0</v>
      </c>
      <c r="E17" s="274">
        <f t="shared" si="0"/>
        <v>0</v>
      </c>
      <c r="F17" s="275">
        <f t="shared" si="0"/>
        <v>0</v>
      </c>
      <c r="H17" s="276"/>
      <c r="I17" s="264"/>
      <c r="J17" s="264"/>
      <c r="K17" s="264"/>
      <c r="L17" s="271"/>
      <c r="M17" s="271"/>
    </row>
    <row r="18" spans="1:13" x14ac:dyDescent="0.2">
      <c r="A18" s="139" t="s">
        <v>79</v>
      </c>
      <c r="B18" s="136"/>
      <c r="C18" s="137"/>
      <c r="D18" s="137"/>
      <c r="E18" s="137"/>
      <c r="F18" s="138"/>
      <c r="I18" s="264"/>
      <c r="J18" s="264"/>
      <c r="K18" s="264"/>
      <c r="L18" s="271"/>
      <c r="M18" s="271"/>
    </row>
    <row r="19" spans="1:13" x14ac:dyDescent="0.2">
      <c r="A19" s="99" t="s">
        <v>77</v>
      </c>
      <c r="B19" s="121">
        <f ca="1">IFERROR(ROUND(priceEach(B18,B$4:B$14),3), 0)</f>
        <v>0</v>
      </c>
      <c r="C19" s="35">
        <f ca="1">IFERROR(ROUND(priceEach(C18,C$4:C$14),3), 0)</f>
        <v>0</v>
      </c>
      <c r="D19" s="35">
        <f>IFERROR(ROUND(priceEach(D18,D$4:D$14),3), 0)</f>
        <v>0</v>
      </c>
      <c r="E19" s="35">
        <f>IFERROR(ROUND(priceEach(E18,E$4:E$14),3), 0)</f>
        <v>0</v>
      </c>
      <c r="F19" s="49">
        <f>IFERROR(ROUND(priceEach(F18,F$4:F$14),3), 0)</f>
        <v>0</v>
      </c>
      <c r="I19" s="264"/>
      <c r="J19" s="264"/>
      <c r="K19" s="264"/>
      <c r="L19" s="271"/>
      <c r="M19" s="271"/>
    </row>
    <row r="20" spans="1:13" x14ac:dyDescent="0.2">
      <c r="A20" s="99" t="s">
        <v>80</v>
      </c>
      <c r="B20" s="273">
        <f ca="1">B19*B18</f>
        <v>0</v>
      </c>
      <c r="C20" s="274">
        <f t="shared" ref="C20:F20" ca="1" si="1">C19*C18</f>
        <v>0</v>
      </c>
      <c r="D20" s="274">
        <f t="shared" si="1"/>
        <v>0</v>
      </c>
      <c r="E20" s="274">
        <f t="shared" si="1"/>
        <v>0</v>
      </c>
      <c r="F20" s="275">
        <f t="shared" si="1"/>
        <v>0</v>
      </c>
      <c r="H20" s="277"/>
      <c r="I20" s="264"/>
      <c r="J20" s="264"/>
      <c r="K20" s="264"/>
      <c r="L20" s="271"/>
      <c r="M20" s="271"/>
    </row>
    <row r="21" spans="1:13" x14ac:dyDescent="0.2">
      <c r="A21" s="139" t="s">
        <v>81</v>
      </c>
      <c r="B21" s="136"/>
      <c r="C21" s="140"/>
      <c r="D21" s="140"/>
      <c r="E21" s="140"/>
      <c r="F21" s="141"/>
      <c r="L21" s="271"/>
      <c r="M21" s="271"/>
    </row>
    <row r="22" spans="1:13" x14ac:dyDescent="0.2">
      <c r="A22" s="99" t="s">
        <v>77</v>
      </c>
      <c r="B22" s="121">
        <f ca="1">IFERROR(ROUND(priceEach(B21,B$4:B$14),3), 0)</f>
        <v>0</v>
      </c>
      <c r="C22" s="35">
        <f ca="1">IFERROR(ROUND(priceEach(C21,C$4:C$14),3), 0)</f>
        <v>0</v>
      </c>
      <c r="D22" s="35">
        <f>IFERROR(ROUND(priceEach(D21,D$4:D$14),3), 0)</f>
        <v>0</v>
      </c>
      <c r="E22" s="35">
        <f>IFERROR(ROUND(priceEach(E21,E$4:E$14),3), 0)</f>
        <v>0</v>
      </c>
      <c r="F22" s="49">
        <f>IFERROR(ROUND(priceEach(F21,F$4:F$14),3), 0)</f>
        <v>0</v>
      </c>
      <c r="H22" s="103"/>
      <c r="L22" s="271"/>
      <c r="M22" s="271"/>
    </row>
    <row r="23" spans="1:13" x14ac:dyDescent="0.2">
      <c r="A23" s="99" t="s">
        <v>82</v>
      </c>
      <c r="B23" s="273">
        <f ca="1">B22*B21</f>
        <v>0</v>
      </c>
      <c r="C23" s="274">
        <f t="shared" ref="C23:F23" ca="1" si="2">C22*C21</f>
        <v>0</v>
      </c>
      <c r="D23" s="274">
        <f t="shared" si="2"/>
        <v>0</v>
      </c>
      <c r="E23" s="274">
        <f t="shared" si="2"/>
        <v>0</v>
      </c>
      <c r="F23" s="275">
        <f t="shared" si="2"/>
        <v>0</v>
      </c>
      <c r="L23" s="271"/>
      <c r="M23" s="271"/>
    </row>
    <row r="24" spans="1:13" x14ac:dyDescent="0.2">
      <c r="A24" s="139" t="s">
        <v>83</v>
      </c>
      <c r="B24" s="136"/>
      <c r="C24" s="140"/>
      <c r="D24" s="140"/>
      <c r="E24" s="140"/>
      <c r="F24" s="141"/>
      <c r="L24" s="271"/>
      <c r="M24" s="271"/>
    </row>
    <row r="25" spans="1:13" x14ac:dyDescent="0.2">
      <c r="A25" s="99" t="s">
        <v>77</v>
      </c>
      <c r="B25" s="121">
        <f ca="1">IFERROR(ROUND(priceEach(B24,B$4:B$14),3), 0)</f>
        <v>0</v>
      </c>
      <c r="C25" s="35">
        <f ca="1">IFERROR(ROUND(priceEach(C24,C$4:C$14),3), 0)</f>
        <v>0</v>
      </c>
      <c r="D25" s="35">
        <f>IFERROR(ROUND(priceEach(D24,D$4:D$14),3), 0)</f>
        <v>0</v>
      </c>
      <c r="E25" s="35">
        <f>IFERROR(ROUND(priceEach(E24,E$4:E$14),3), 0)</f>
        <v>0</v>
      </c>
      <c r="F25" s="49">
        <f>IFERROR(ROUND(priceEach(F24,F$4:F$14),3), 0)</f>
        <v>0</v>
      </c>
      <c r="L25" s="271"/>
      <c r="M25" s="271"/>
    </row>
    <row r="26" spans="1:13" x14ac:dyDescent="0.2">
      <c r="A26" s="99" t="s">
        <v>84</v>
      </c>
      <c r="B26" s="273">
        <f ca="1">B25*B24</f>
        <v>0</v>
      </c>
      <c r="C26" s="274">
        <f t="shared" ref="C26:F26" ca="1" si="3">C25*C24</f>
        <v>0</v>
      </c>
      <c r="D26" s="274">
        <f t="shared" si="3"/>
        <v>0</v>
      </c>
      <c r="E26" s="274">
        <f t="shared" si="3"/>
        <v>0</v>
      </c>
      <c r="F26" s="275">
        <f t="shared" si="3"/>
        <v>0</v>
      </c>
      <c r="L26" s="271"/>
      <c r="M26" s="271"/>
    </row>
    <row r="27" spans="1:13" x14ac:dyDescent="0.2">
      <c r="A27" s="139" t="s">
        <v>85</v>
      </c>
      <c r="B27" s="136"/>
      <c r="C27" s="140"/>
      <c r="D27" s="140"/>
      <c r="E27" s="140"/>
      <c r="F27" s="141"/>
    </row>
    <row r="28" spans="1:13" x14ac:dyDescent="0.2">
      <c r="A28" s="100" t="s">
        <v>77</v>
      </c>
      <c r="B28" s="121">
        <f ca="1">IFERROR(ROUND(priceEach(B27,B$4:B$14),3), 0)</f>
        <v>0</v>
      </c>
      <c r="C28" s="35">
        <f ca="1">IFERROR(ROUND(priceEach(C27,C$4:C$14),3), 0)</f>
        <v>0</v>
      </c>
      <c r="D28" s="35">
        <f>IFERROR(ROUND(priceEach(D27,D$4:D$14),3), 0)</f>
        <v>0</v>
      </c>
      <c r="E28" s="35">
        <f>IFERROR(ROUND(priceEach(E27,E$4:E$14),3), 0)</f>
        <v>0</v>
      </c>
      <c r="F28" s="49">
        <f>IFERROR(ROUND(priceEach(F27,F$4:F$14),3), 0)</f>
        <v>0</v>
      </c>
    </row>
    <row r="29" spans="1:13" ht="13.5" thickBot="1" x14ac:dyDescent="0.25">
      <c r="A29" s="101" t="s">
        <v>86</v>
      </c>
      <c r="B29" s="278">
        <f ca="1">B28*B27</f>
        <v>0</v>
      </c>
      <c r="C29" s="279">
        <f t="shared" ref="C29:F29" ca="1" si="4">C28*C27</f>
        <v>0</v>
      </c>
      <c r="D29" s="279">
        <f t="shared" si="4"/>
        <v>0</v>
      </c>
      <c r="E29" s="279">
        <f t="shared" si="4"/>
        <v>0</v>
      </c>
      <c r="F29" s="280">
        <f t="shared" si="4"/>
        <v>0</v>
      </c>
    </row>
  </sheetData>
  <protectedRanges>
    <protectedRange sqref="B18:F18 A3:D3 A2:F2 B21:F21 B24:F24 B27:F27 A4:F15" name="Q1"/>
    <protectedRange sqref="A18" name="Range2"/>
    <protectedRange sqref="A21" name="Range3"/>
    <protectedRange sqref="A24" name="Range4"/>
    <protectedRange sqref="A27" name="Range5"/>
  </protectedRanges>
  <mergeCells count="2">
    <mergeCell ref="A1:C1"/>
    <mergeCell ref="A2:C2"/>
  </mergeCells>
  <conditionalFormatting sqref="B6:F7">
    <cfRule type="expression" dxfId="136" priority="16">
      <formula>IF(B$5&lt;&gt;"Five Maples stock",TRUE,FALSE)</formula>
    </cfRule>
  </conditionalFormatting>
  <conditionalFormatting sqref="B8:F11">
    <cfRule type="expression" dxfId="135" priority="15">
      <formula>IF(B$5="Five Maples stock", TRUE, FALSE)</formula>
    </cfRule>
  </conditionalFormatting>
  <conditionalFormatting sqref="B6:F11 B12:B14 D12:F14">
    <cfRule type="expression" priority="5" stopIfTrue="1">
      <formula>IF(B$5="",TRUE,FALSE)</formula>
    </cfRule>
  </conditionalFormatting>
  <conditionalFormatting sqref="B17:F17 B20:F20 B23:F23 B26:F26 B29:F29">
    <cfRule type="expression" dxfId="134" priority="2">
      <formula>IF(notProfitable(B$4:B$14, B16), TRUE, FALSE)</formula>
    </cfRule>
    <cfRule type="expression" dxfId="133" priority="3">
      <formula>IF(uncompetitive(B$4,B$14,B15), TRUE, FALSE)</formula>
    </cfRule>
    <cfRule type="expression" dxfId="132" priority="4">
      <formula>IF(printShell(B$4,B$5,B$14, B15), TRUE, FALSE)</formula>
    </cfRule>
  </conditionalFormatting>
  <conditionalFormatting sqref="C12:C14">
    <cfRule type="expression" priority="1" stopIfTrue="1">
      <formula>IF(C$5="",TRUE,FALSE)</formula>
    </cfRule>
  </conditionalFormatting>
  <dataValidations count="7">
    <dataValidation type="list" allowBlank="1" showInputMessage="1" showErrorMessage="1" sqref="B5:F5">
      <formula1>INDIRECT("PaperSource[PaperSource]")</formula1>
    </dataValidation>
    <dataValidation type="list" allowBlank="1" showInputMessage="1" showErrorMessage="1" sqref="B4:F4">
      <formula1>INDIRECT("PrintType[Type]")</formula1>
    </dataValidation>
    <dataValidation type="list" allowBlank="1" showInputMessage="1" showErrorMessage="1" sqref="B6:F6">
      <formula1>INDIRECT("MultiUp[FinalSize]")</formula1>
    </dataValidation>
    <dataValidation type="list" allowBlank="1" showInputMessage="1" showErrorMessage="1" sqref="B7:F7">
      <formula1>INDIRECT("HousePaper[PaperName]")</formula1>
    </dataValidation>
    <dataValidation type="list" allowBlank="1" showInputMessage="1" showErrorMessage="1" sqref="B12:F12">
      <formula1>INDIRECT("PrintColor[Front]")</formula1>
    </dataValidation>
    <dataValidation type="list" allowBlank="1" showInputMessage="1" showErrorMessage="1" sqref="B13:F13">
      <formula1>INDIRECT("PrintColor[Back]")</formula1>
    </dataValidation>
    <dataValidation type="list" allowBlank="1" showInputMessage="1" showErrorMessage="1" sqref="B14:F14">
      <formula1>INDIRECT("PrintVar[VariableChoice]")</formula1>
    </dataValidation>
  </dataValidations>
  <pageMargins left="0.7" right="0.7" top="0.75" bottom="0.75" header="0.3" footer="0.3"/>
  <pageSetup scale="78" orientation="landscape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77"/>
  <sheetViews>
    <sheetView view="pageBreakPreview" topLeftCell="B1" zoomScale="85" zoomScaleNormal="100" zoomScaleSheetLayoutView="85" workbookViewId="0">
      <selection activeCell="H1" sqref="H1:K15"/>
    </sheetView>
  </sheetViews>
  <sheetFormatPr defaultRowHeight="15" x14ac:dyDescent="0.25"/>
  <cols>
    <col min="1" max="1" width="19.140625" style="16" customWidth="1"/>
    <col min="2" max="2" width="15.42578125" style="16" customWidth="1"/>
    <col min="3" max="3" width="9.140625" style="16"/>
    <col min="4" max="4" width="10.28515625" style="16" customWidth="1"/>
    <col min="5" max="5" width="9.5703125" style="16" customWidth="1"/>
    <col min="6" max="6" width="15.85546875" style="16" customWidth="1"/>
    <col min="7" max="7" width="9.140625" style="16"/>
    <col min="8" max="8" width="31.140625" style="16" customWidth="1"/>
    <col min="9" max="9" width="11" style="16" customWidth="1"/>
    <col min="10" max="10" width="13" style="16" customWidth="1"/>
    <col min="11" max="11" width="14.85546875" style="16" customWidth="1"/>
    <col min="12" max="12" width="9.140625" style="16"/>
    <col min="13" max="13" width="19.5703125" style="16" customWidth="1"/>
    <col min="14" max="14" width="9.140625" style="16"/>
    <col min="15" max="15" width="20.140625" style="16" customWidth="1"/>
    <col min="16" max="16" width="9.140625" style="16"/>
    <col min="17" max="17" width="11.5703125" style="16" customWidth="1"/>
    <col min="18" max="18" width="12.7109375" style="16" customWidth="1"/>
    <col min="19" max="19" width="20.140625" style="16" customWidth="1"/>
    <col min="20" max="20" width="9.140625" style="16"/>
    <col min="21" max="21" width="11.140625" style="16" customWidth="1"/>
    <col min="22" max="22" width="8" style="16" customWidth="1"/>
    <col min="23" max="23" width="7.28515625" style="16" customWidth="1"/>
    <col min="24" max="24" width="9.140625" style="16"/>
    <col min="25" max="25" width="20.140625" style="16" customWidth="1"/>
    <col min="26" max="26" width="11.140625" style="16" customWidth="1"/>
    <col min="27" max="27" width="10.28515625" style="16" customWidth="1"/>
    <col min="28" max="28" width="9.140625" style="16"/>
    <col min="29" max="29" width="19.85546875" style="16" customWidth="1"/>
    <col min="30" max="30" width="28.28515625" style="16" customWidth="1"/>
    <col min="31" max="31" width="9.140625" style="16"/>
    <col min="32" max="32" width="32" style="16" customWidth="1"/>
    <col min="33" max="33" width="15.42578125" style="16" customWidth="1"/>
    <col min="34" max="34" width="12.42578125" style="16" customWidth="1"/>
    <col min="35" max="35" width="16" style="16" customWidth="1"/>
    <col min="36" max="36" width="11.28515625" style="16" customWidth="1"/>
    <col min="37" max="37" width="16" style="16" customWidth="1"/>
    <col min="38" max="38" width="14.85546875" style="16" customWidth="1"/>
    <col min="39" max="39" width="11.85546875" style="16" customWidth="1"/>
    <col min="40" max="40" width="14.85546875" style="16" customWidth="1"/>
    <col min="41" max="42" width="11.42578125" style="16" customWidth="1"/>
    <col min="43" max="43" width="9.140625" style="16"/>
    <col min="44" max="44" width="28.85546875" style="16" customWidth="1"/>
    <col min="45" max="45" width="31" style="16" customWidth="1"/>
    <col min="46" max="46" width="28.85546875" style="16" customWidth="1"/>
    <col min="47" max="47" width="14.85546875" style="16" customWidth="1"/>
    <col min="48" max="48" width="13.28515625" style="16" customWidth="1"/>
    <col min="49" max="49" width="14.85546875" style="16" customWidth="1"/>
    <col min="50" max="50" width="28.85546875" style="16" customWidth="1"/>
    <col min="51" max="51" width="31" style="16" customWidth="1"/>
    <col min="52" max="54" width="13.140625" style="16" customWidth="1"/>
    <col min="55" max="55" width="9.140625" style="16"/>
    <col min="56" max="56" width="28.85546875" style="16" customWidth="1"/>
    <col min="57" max="57" width="31" style="16" customWidth="1"/>
    <col min="58" max="60" width="13.140625" style="16" customWidth="1"/>
    <col min="61" max="61" width="9.140625" style="16"/>
    <col min="62" max="62" width="31" style="16" customWidth="1"/>
    <col min="63" max="66" width="22.28515625" style="16" customWidth="1"/>
    <col min="67" max="67" width="9.140625" style="16"/>
    <col min="68" max="68" width="28.140625" style="16" customWidth="1"/>
    <col min="69" max="72" width="13.140625" style="16" customWidth="1"/>
    <col min="73" max="16384" width="9.140625" style="16"/>
  </cols>
  <sheetData>
    <row r="1" spans="1:72" s="11" customFormat="1" x14ac:dyDescent="0.25">
      <c r="A1" s="9" t="s">
        <v>0</v>
      </c>
      <c r="B1" s="10" t="s">
        <v>30</v>
      </c>
      <c r="D1" s="10" t="s">
        <v>4</v>
      </c>
      <c r="E1" s="9" t="s">
        <v>5</v>
      </c>
      <c r="F1" s="10" t="s">
        <v>29</v>
      </c>
      <c r="H1" s="9" t="s">
        <v>23</v>
      </c>
      <c r="I1" s="9" t="s">
        <v>7</v>
      </c>
      <c r="J1" s="9" t="s">
        <v>8</v>
      </c>
      <c r="K1" s="9" t="s">
        <v>42</v>
      </c>
      <c r="M1" s="10" t="s">
        <v>24</v>
      </c>
      <c r="O1" s="6" t="s">
        <v>34</v>
      </c>
      <c r="Q1" s="12" t="s">
        <v>35</v>
      </c>
      <c r="R1" s="12" t="s">
        <v>36</v>
      </c>
      <c r="S1" s="12" t="s">
        <v>37</v>
      </c>
      <c r="U1" s="13" t="s">
        <v>32</v>
      </c>
      <c r="V1" s="13" t="s">
        <v>4</v>
      </c>
      <c r="W1" s="13" t="s">
        <v>5</v>
      </c>
      <c r="Y1" s="8" t="s">
        <v>43</v>
      </c>
      <c r="Z1" s="8" t="s">
        <v>32</v>
      </c>
      <c r="AA1" s="8" t="s">
        <v>47</v>
      </c>
      <c r="AC1" s="31" t="s">
        <v>33</v>
      </c>
      <c r="AD1" s="9" t="s">
        <v>55</v>
      </c>
      <c r="AF1" s="5" t="s">
        <v>167</v>
      </c>
      <c r="AG1" s="38" t="s">
        <v>87</v>
      </c>
      <c r="AH1" s="36" t="s">
        <v>88</v>
      </c>
      <c r="AI1" s="36" t="s">
        <v>89</v>
      </c>
      <c r="AJ1" s="36" t="s">
        <v>172</v>
      </c>
      <c r="AK1" s="36" t="s">
        <v>91</v>
      </c>
      <c r="AL1" s="38" t="s">
        <v>92</v>
      </c>
      <c r="AM1" s="38" t="s">
        <v>170</v>
      </c>
      <c r="AN1" s="38" t="s">
        <v>94</v>
      </c>
      <c r="AO1" s="38" t="s">
        <v>209</v>
      </c>
      <c r="AP1" s="38" t="s">
        <v>210</v>
      </c>
      <c r="AR1" s="11" t="s">
        <v>56</v>
      </c>
      <c r="AS1" s="11" t="s">
        <v>57</v>
      </c>
      <c r="AT1" s="11" t="s">
        <v>58</v>
      </c>
      <c r="AU1" s="11" t="s">
        <v>59</v>
      </c>
      <c r="AV1" s="11" t="s">
        <v>60</v>
      </c>
      <c r="AX1" s="11" t="s">
        <v>56</v>
      </c>
      <c r="AY1" s="11" t="s">
        <v>57</v>
      </c>
      <c r="AZ1" s="11" t="s">
        <v>58</v>
      </c>
      <c r="BA1" s="11" t="s">
        <v>59</v>
      </c>
      <c r="BB1" s="11" t="s">
        <v>60</v>
      </c>
      <c r="BD1" s="11" t="s">
        <v>56</v>
      </c>
      <c r="BE1" s="11" t="s">
        <v>57</v>
      </c>
      <c r="BF1" s="11" t="s">
        <v>58</v>
      </c>
      <c r="BG1" s="11" t="s">
        <v>59</v>
      </c>
      <c r="BH1" s="11" t="s">
        <v>60</v>
      </c>
      <c r="BJ1" s="11" t="s">
        <v>56</v>
      </c>
      <c r="BK1" s="11" t="s">
        <v>57</v>
      </c>
      <c r="BL1" s="11" t="s">
        <v>58</v>
      </c>
      <c r="BM1" s="11" t="s">
        <v>59</v>
      </c>
      <c r="BN1" s="11" t="s">
        <v>60</v>
      </c>
      <c r="BP1" s="11" t="s">
        <v>56</v>
      </c>
      <c r="BQ1" s="11" t="s">
        <v>57</v>
      </c>
      <c r="BR1" s="11" t="s">
        <v>58</v>
      </c>
      <c r="BS1" s="11" t="s">
        <v>59</v>
      </c>
      <c r="BT1" s="11" t="s">
        <v>60</v>
      </c>
    </row>
    <row r="2" spans="1:72" x14ac:dyDescent="0.25">
      <c r="A2" s="14" t="s">
        <v>1</v>
      </c>
      <c r="B2" s="15">
        <v>0</v>
      </c>
      <c r="D2" s="10">
        <v>0</v>
      </c>
      <c r="E2" s="9">
        <v>0</v>
      </c>
      <c r="F2" s="17">
        <v>0</v>
      </c>
      <c r="H2" s="50" t="s">
        <v>20</v>
      </c>
      <c r="I2" s="54">
        <v>0.81200000000000006</v>
      </c>
      <c r="J2" s="4">
        <v>10000</v>
      </c>
      <c r="K2" s="4">
        <v>10000</v>
      </c>
      <c r="M2" s="13" t="s">
        <v>25</v>
      </c>
      <c r="O2" s="16">
        <v>1.3</v>
      </c>
      <c r="Q2" s="7">
        <v>6.75</v>
      </c>
      <c r="R2" s="7">
        <v>2</v>
      </c>
      <c r="S2" s="7">
        <f>R2*Q2</f>
        <v>13.5</v>
      </c>
      <c r="U2" s="18" t="s">
        <v>38</v>
      </c>
      <c r="V2" s="19">
        <v>3.8999999999999998E-3</v>
      </c>
      <c r="W2" s="19">
        <v>3.8999999999999998E-3</v>
      </c>
      <c r="Y2" s="8" t="s">
        <v>44</v>
      </c>
      <c r="Z2" s="8">
        <f>22*2080*0.67</f>
        <v>30659.200000000001</v>
      </c>
      <c r="AA2" s="8">
        <f>Z2/$AA$1</f>
        <v>1.5329600000000001E-2</v>
      </c>
      <c r="AC2" s="27" t="s">
        <v>48</v>
      </c>
      <c r="AD2" s="30" t="s">
        <v>49</v>
      </c>
      <c r="AF2" s="1" t="s">
        <v>97</v>
      </c>
      <c r="AG2" s="39">
        <v>0</v>
      </c>
      <c r="AH2" s="38">
        <v>3</v>
      </c>
      <c r="AI2" s="39">
        <v>0</v>
      </c>
      <c r="AJ2" s="38">
        <v>3</v>
      </c>
      <c r="AK2" s="39">
        <v>0</v>
      </c>
      <c r="AL2" s="39">
        <v>0</v>
      </c>
      <c r="AM2" s="10">
        <v>9</v>
      </c>
      <c r="AN2" s="39">
        <v>0</v>
      </c>
      <c r="AO2" s="38">
        <v>10</v>
      </c>
      <c r="AP2" s="38">
        <v>10</v>
      </c>
      <c r="AR2" s="102" t="s">
        <v>13</v>
      </c>
      <c r="AS2" s="102" t="s">
        <v>15</v>
      </c>
      <c r="AT2" s="102" t="s">
        <v>14</v>
      </c>
      <c r="AU2" s="102"/>
      <c r="AV2" s="102"/>
      <c r="AX2" s="102" t="s">
        <v>13</v>
      </c>
      <c r="AY2" s="102" t="s">
        <v>15</v>
      </c>
      <c r="AZ2" s="102"/>
      <c r="BA2" s="102"/>
      <c r="BB2" s="102"/>
      <c r="BD2" s="102" t="s">
        <v>13</v>
      </c>
      <c r="BE2" s="102" t="s">
        <v>15</v>
      </c>
      <c r="BF2" s="102"/>
      <c r="BG2" s="102"/>
      <c r="BH2" s="102"/>
      <c r="BJ2" s="102" t="s">
        <v>10</v>
      </c>
      <c r="BK2" s="102" t="s">
        <v>11</v>
      </c>
      <c r="BL2" s="102" t="s">
        <v>11</v>
      </c>
      <c r="BM2" s="102" t="s">
        <v>11</v>
      </c>
      <c r="BN2" s="102" t="s">
        <v>12</v>
      </c>
      <c r="BP2" s="102" t="s">
        <v>18</v>
      </c>
      <c r="BQ2" s="102"/>
      <c r="BR2" s="102"/>
      <c r="BS2" s="102"/>
      <c r="BT2" s="102"/>
    </row>
    <row r="3" spans="1:72" x14ac:dyDescent="0.25">
      <c r="A3" s="14" t="s">
        <v>2</v>
      </c>
      <c r="B3" s="2">
        <v>7.0000000000000007E-2</v>
      </c>
      <c r="D3" s="9" t="s">
        <v>6</v>
      </c>
      <c r="E3" s="9" t="s">
        <v>6</v>
      </c>
      <c r="F3" s="51">
        <v>7.0000000000000001E-3</v>
      </c>
      <c r="H3" s="50" t="s">
        <v>18</v>
      </c>
      <c r="I3" s="54">
        <v>0.91400000000000003</v>
      </c>
      <c r="J3" s="4">
        <v>25000</v>
      </c>
      <c r="K3" s="4">
        <v>10000</v>
      </c>
      <c r="M3" s="20" t="s">
        <v>26</v>
      </c>
      <c r="Q3" s="21">
        <v>10</v>
      </c>
      <c r="R3" s="21">
        <v>1</v>
      </c>
      <c r="S3" s="21">
        <f>R3*Q3</f>
        <v>10</v>
      </c>
      <c r="U3" s="18" t="s">
        <v>39</v>
      </c>
      <c r="V3" s="19">
        <v>7.0000000000000001E-3</v>
      </c>
      <c r="W3" s="19">
        <v>7.0000000000000001E-3</v>
      </c>
      <c r="Y3" s="8" t="s">
        <v>45</v>
      </c>
      <c r="Z3" s="8">
        <f>12*(495+1085+1280)</f>
        <v>34320</v>
      </c>
      <c r="AA3" s="8">
        <f>Z3/$AA$1</f>
        <v>1.7160000000000002E-2</v>
      </c>
      <c r="AC3" s="27" t="s">
        <v>50</v>
      </c>
      <c r="AD3" s="30" t="s">
        <v>51</v>
      </c>
      <c r="AF3" s="1" t="s">
        <v>98</v>
      </c>
      <c r="AG3" s="39">
        <v>0</v>
      </c>
      <c r="AH3" s="38">
        <v>2</v>
      </c>
      <c r="AI3" s="39">
        <v>0</v>
      </c>
      <c r="AJ3" s="38">
        <v>3</v>
      </c>
      <c r="AK3" s="39">
        <v>0</v>
      </c>
      <c r="AL3" s="39">
        <v>0</v>
      </c>
      <c r="AM3" s="38">
        <v>4</v>
      </c>
      <c r="AN3" s="39">
        <v>0</v>
      </c>
      <c r="AO3" s="38">
        <v>9</v>
      </c>
      <c r="AP3" s="38">
        <v>10</v>
      </c>
      <c r="AR3" s="102" t="s">
        <v>27</v>
      </c>
      <c r="AS3" s="102" t="s">
        <v>27</v>
      </c>
      <c r="AT3" s="102" t="s">
        <v>27</v>
      </c>
      <c r="AU3" s="102"/>
      <c r="AV3" s="102"/>
      <c r="AX3" s="102" t="s">
        <v>27</v>
      </c>
      <c r="AY3" s="102" t="s">
        <v>27</v>
      </c>
      <c r="AZ3" s="102"/>
      <c r="BA3" s="102"/>
      <c r="BB3" s="102"/>
      <c r="BD3" s="102" t="s">
        <v>27</v>
      </c>
      <c r="BE3" s="102" t="s">
        <v>27</v>
      </c>
      <c r="BF3" s="102"/>
      <c r="BG3" s="102"/>
      <c r="BH3" s="102"/>
      <c r="BJ3" s="102" t="s">
        <v>27</v>
      </c>
      <c r="BK3" s="102" t="s">
        <v>27</v>
      </c>
      <c r="BL3" s="102" t="s">
        <v>27</v>
      </c>
      <c r="BM3" s="102" t="s">
        <v>27</v>
      </c>
      <c r="BN3" s="102" t="s">
        <v>27</v>
      </c>
      <c r="BP3" s="102" t="s">
        <v>27</v>
      </c>
      <c r="BQ3" s="102"/>
      <c r="BR3" s="102"/>
      <c r="BS3" s="102"/>
      <c r="BT3" s="102"/>
    </row>
    <row r="4" spans="1:72" x14ac:dyDescent="0.25">
      <c r="A4" s="22" t="s">
        <v>3</v>
      </c>
      <c r="B4" s="2">
        <v>0.09</v>
      </c>
      <c r="D4" s="9">
        <v>1</v>
      </c>
      <c r="E4" s="9">
        <v>1</v>
      </c>
      <c r="F4" s="17">
        <v>0.04</v>
      </c>
      <c r="H4" s="50" t="s">
        <v>17</v>
      </c>
      <c r="I4" s="54">
        <v>0.91400000000000003</v>
      </c>
      <c r="J4" s="4">
        <v>25000</v>
      </c>
      <c r="K4" s="4">
        <v>10000</v>
      </c>
      <c r="M4" s="20" t="s">
        <v>27</v>
      </c>
      <c r="Q4" s="23" t="s">
        <v>31</v>
      </c>
      <c r="R4" s="23">
        <f>R3*R2</f>
        <v>2</v>
      </c>
      <c r="S4" s="24"/>
      <c r="U4" s="25" t="s">
        <v>40</v>
      </c>
      <c r="V4" s="19">
        <v>3.7499999999999999E-2</v>
      </c>
      <c r="W4" s="19">
        <v>3.7499999999999999E-2</v>
      </c>
      <c r="Y4" s="8" t="s">
        <v>46</v>
      </c>
      <c r="Z4" s="8">
        <f>SUM(Z2:Z3)</f>
        <v>64979.199999999997</v>
      </c>
      <c r="AA4" s="8">
        <f>Z4/$AA$1</f>
        <v>3.24896E-2</v>
      </c>
      <c r="AC4" s="27" t="s">
        <v>52</v>
      </c>
      <c r="AD4" s="30">
        <v>12500</v>
      </c>
      <c r="AF4" s="1" t="s">
        <v>99</v>
      </c>
      <c r="AG4" s="39">
        <v>0</v>
      </c>
      <c r="AH4" s="38">
        <v>3</v>
      </c>
      <c r="AI4" s="39">
        <v>0</v>
      </c>
      <c r="AJ4" s="38">
        <v>3</v>
      </c>
      <c r="AK4" s="39">
        <v>0</v>
      </c>
      <c r="AL4" s="39">
        <v>0</v>
      </c>
      <c r="AM4" s="38">
        <v>6</v>
      </c>
      <c r="AN4" s="39">
        <v>0</v>
      </c>
      <c r="AO4" s="38">
        <v>10</v>
      </c>
      <c r="AP4" s="38">
        <v>10</v>
      </c>
      <c r="AR4" s="102" t="s">
        <v>88</v>
      </c>
      <c r="AS4" s="102" t="s">
        <v>105</v>
      </c>
      <c r="AT4" s="102" t="s">
        <v>145</v>
      </c>
      <c r="AU4" s="102"/>
      <c r="AV4" s="102"/>
      <c r="AX4" s="102" t="s">
        <v>88</v>
      </c>
      <c r="AY4" s="102" t="s">
        <v>123</v>
      </c>
      <c r="AZ4" s="102"/>
      <c r="BA4" s="102"/>
      <c r="BB4" s="102"/>
      <c r="BD4" s="102" t="s">
        <v>143</v>
      </c>
      <c r="BE4" s="102" t="s">
        <v>114</v>
      </c>
      <c r="BF4" s="102"/>
      <c r="BG4" s="102"/>
      <c r="BH4" s="102"/>
      <c r="BJ4" s="102" t="s">
        <v>63</v>
      </c>
      <c r="BK4" s="102" t="s">
        <v>64</v>
      </c>
      <c r="BL4" s="102" t="s">
        <v>65</v>
      </c>
      <c r="BM4" s="102" t="s">
        <v>140</v>
      </c>
      <c r="BN4" s="102" t="s">
        <v>66</v>
      </c>
      <c r="BP4" s="102" t="s">
        <v>158</v>
      </c>
      <c r="BQ4" s="102"/>
      <c r="BR4" s="102"/>
      <c r="BS4" s="102"/>
      <c r="BT4" s="102"/>
    </row>
    <row r="5" spans="1:72" x14ac:dyDescent="0.25">
      <c r="D5" s="9">
        <v>2</v>
      </c>
      <c r="E5" s="9">
        <v>2</v>
      </c>
      <c r="F5" s="17">
        <v>0.04</v>
      </c>
      <c r="H5" s="50" t="s">
        <v>12</v>
      </c>
      <c r="I5" s="54">
        <v>0.76100000000000001</v>
      </c>
      <c r="J5" s="4">
        <v>7500</v>
      </c>
      <c r="K5" s="4">
        <v>5000</v>
      </c>
      <c r="M5" s="20" t="s">
        <v>28</v>
      </c>
      <c r="U5" s="18" t="s">
        <v>41</v>
      </c>
      <c r="V5" s="19">
        <v>0.04</v>
      </c>
      <c r="W5" s="19">
        <v>0.04</v>
      </c>
      <c r="AC5" s="3" t="s">
        <v>53</v>
      </c>
      <c r="AD5" s="30"/>
      <c r="AF5" s="1" t="s">
        <v>100</v>
      </c>
      <c r="AG5" s="39">
        <v>0</v>
      </c>
      <c r="AH5" s="38">
        <v>2</v>
      </c>
      <c r="AI5" s="39">
        <v>0</v>
      </c>
      <c r="AJ5" s="38">
        <v>3</v>
      </c>
      <c r="AK5" s="39">
        <v>0</v>
      </c>
      <c r="AL5" s="39">
        <v>0</v>
      </c>
      <c r="AM5" s="38">
        <v>6</v>
      </c>
      <c r="AN5" s="39">
        <v>0</v>
      </c>
      <c r="AO5" s="38">
        <v>6</v>
      </c>
      <c r="AP5" s="38">
        <v>10</v>
      </c>
      <c r="AR5" s="102" t="s">
        <v>181</v>
      </c>
      <c r="AS5" s="102" t="s">
        <v>68</v>
      </c>
      <c r="AT5" s="102" t="s">
        <v>181</v>
      </c>
      <c r="AU5" s="102"/>
      <c r="AV5" s="102"/>
      <c r="AX5" s="102" t="s">
        <v>181</v>
      </c>
      <c r="AY5" s="102" t="s">
        <v>68</v>
      </c>
      <c r="AZ5" s="102"/>
      <c r="BA5" s="102"/>
      <c r="BB5" s="102"/>
      <c r="BD5" s="102" t="s">
        <v>181</v>
      </c>
      <c r="BE5" s="102" t="s">
        <v>68</v>
      </c>
      <c r="BF5" s="102"/>
      <c r="BG5" s="102"/>
      <c r="BH5" s="102"/>
      <c r="BJ5" s="102" t="s">
        <v>68</v>
      </c>
      <c r="BK5" s="102" t="s">
        <v>69</v>
      </c>
      <c r="BL5" s="102" t="s">
        <v>69</v>
      </c>
      <c r="BM5" s="102" t="s">
        <v>69</v>
      </c>
      <c r="BN5" s="102" t="s">
        <v>69</v>
      </c>
      <c r="BP5" s="102" t="s">
        <v>184</v>
      </c>
      <c r="BQ5" s="102"/>
      <c r="BR5" s="102"/>
      <c r="BS5" s="102"/>
      <c r="BT5" s="102"/>
    </row>
    <row r="6" spans="1:72" x14ac:dyDescent="0.25">
      <c r="D6" s="9">
        <v>3</v>
      </c>
      <c r="E6" s="9">
        <v>3</v>
      </c>
      <c r="F6" s="26">
        <v>0.04</v>
      </c>
      <c r="H6" s="50" t="s">
        <v>9</v>
      </c>
      <c r="I6" s="54">
        <v>1.0149999999999999</v>
      </c>
      <c r="J6" s="4">
        <v>25000</v>
      </c>
      <c r="K6" s="4">
        <v>25000</v>
      </c>
      <c r="AC6" s="28" t="s">
        <v>54</v>
      </c>
      <c r="AD6" s="29"/>
      <c r="AF6" s="1" t="s">
        <v>101</v>
      </c>
      <c r="AG6" s="39">
        <v>0</v>
      </c>
      <c r="AH6" s="38">
        <v>3</v>
      </c>
      <c r="AI6" s="39">
        <v>0</v>
      </c>
      <c r="AJ6" s="38">
        <v>3</v>
      </c>
      <c r="AK6" s="39">
        <v>0</v>
      </c>
      <c r="AL6" s="39">
        <v>0</v>
      </c>
      <c r="AM6" s="38">
        <v>6</v>
      </c>
      <c r="AN6" s="39">
        <v>0</v>
      </c>
      <c r="AO6" s="38">
        <v>6</v>
      </c>
      <c r="AP6" s="38">
        <v>6</v>
      </c>
      <c r="AR6" s="102"/>
      <c r="AS6" s="102"/>
      <c r="AT6" s="102"/>
      <c r="AU6" s="102"/>
      <c r="AV6" s="102"/>
      <c r="AX6" s="102"/>
      <c r="AY6" s="102"/>
      <c r="AZ6" s="102"/>
      <c r="BA6" s="102"/>
      <c r="BB6" s="102"/>
      <c r="BD6" s="102"/>
      <c r="BE6" s="102"/>
      <c r="BF6" s="102"/>
      <c r="BG6" s="102"/>
      <c r="BH6" s="102"/>
      <c r="BJ6" s="102"/>
      <c r="BK6" s="102"/>
      <c r="BL6" s="102"/>
      <c r="BM6" s="102"/>
      <c r="BN6" s="102"/>
      <c r="BP6" s="102"/>
      <c r="BQ6" s="102"/>
      <c r="BR6" s="102"/>
      <c r="BS6" s="102"/>
      <c r="BT6" s="102"/>
    </row>
    <row r="7" spans="1:72" x14ac:dyDescent="0.25">
      <c r="D7" s="9">
        <v>4</v>
      </c>
      <c r="E7" s="9">
        <v>4</v>
      </c>
      <c r="F7" s="17">
        <v>0.04</v>
      </c>
      <c r="H7" s="50" t="s">
        <v>16</v>
      </c>
      <c r="I7" s="54">
        <v>1.0149999999999999</v>
      </c>
      <c r="J7" s="4">
        <v>25000</v>
      </c>
      <c r="K7" s="4">
        <v>15000</v>
      </c>
      <c r="AF7" s="1" t="s">
        <v>102</v>
      </c>
      <c r="AG7" s="39">
        <v>0</v>
      </c>
      <c r="AH7" s="38">
        <v>2</v>
      </c>
      <c r="AI7" s="39">
        <v>0</v>
      </c>
      <c r="AJ7" s="38">
        <v>3</v>
      </c>
      <c r="AK7" s="39">
        <v>0</v>
      </c>
      <c r="AL7" s="39">
        <v>0</v>
      </c>
      <c r="AM7" s="38">
        <v>4</v>
      </c>
      <c r="AN7" s="39">
        <v>0</v>
      </c>
      <c r="AO7" s="38">
        <v>6</v>
      </c>
      <c r="AP7" s="38">
        <v>6</v>
      </c>
      <c r="AR7" s="102"/>
      <c r="AS7" s="102"/>
      <c r="AT7" s="102"/>
      <c r="AU7" s="102"/>
      <c r="AV7" s="102"/>
      <c r="AX7" s="102"/>
      <c r="AY7" s="102"/>
      <c r="AZ7" s="102"/>
      <c r="BA7" s="102"/>
      <c r="BB7" s="102"/>
      <c r="BD7" s="102"/>
      <c r="BE7" s="102"/>
      <c r="BF7" s="102"/>
      <c r="BG7" s="102"/>
      <c r="BH7" s="102"/>
      <c r="BJ7" s="102"/>
      <c r="BK7" s="102"/>
      <c r="BL7" s="102"/>
      <c r="BM7" s="102"/>
      <c r="BN7" s="102"/>
      <c r="BP7" s="102"/>
      <c r="BQ7" s="102"/>
      <c r="BR7" s="102"/>
      <c r="BS7" s="102"/>
      <c r="BT7" s="102"/>
    </row>
    <row r="8" spans="1:72" x14ac:dyDescent="0.25">
      <c r="H8" s="50" t="s">
        <v>13</v>
      </c>
      <c r="I8" s="54">
        <v>1.091</v>
      </c>
      <c r="J8" s="4">
        <v>50000</v>
      </c>
      <c r="K8" s="4">
        <v>15000</v>
      </c>
      <c r="AF8" s="1" t="s">
        <v>103</v>
      </c>
      <c r="AG8" s="39">
        <v>0</v>
      </c>
      <c r="AH8" s="38">
        <v>3</v>
      </c>
      <c r="AI8" s="39">
        <v>0</v>
      </c>
      <c r="AJ8" s="38">
        <v>3</v>
      </c>
      <c r="AK8" s="39">
        <v>0</v>
      </c>
      <c r="AL8" s="39">
        <v>0</v>
      </c>
      <c r="AM8" s="38">
        <v>6</v>
      </c>
      <c r="AN8" s="39">
        <v>0</v>
      </c>
      <c r="AO8" s="38">
        <v>6</v>
      </c>
      <c r="AP8" s="38">
        <v>6</v>
      </c>
      <c r="AR8" s="102"/>
      <c r="AS8" s="102"/>
      <c r="AT8" s="102"/>
      <c r="AU8" s="102"/>
      <c r="AV8" s="102"/>
      <c r="AX8" s="102"/>
      <c r="AY8" s="102"/>
      <c r="AZ8" s="102"/>
      <c r="BA8" s="102"/>
      <c r="BB8" s="102"/>
      <c r="BD8" s="102"/>
      <c r="BE8" s="102"/>
      <c r="BF8" s="102"/>
      <c r="BG8" s="102"/>
      <c r="BH8" s="102"/>
      <c r="BJ8" s="102"/>
      <c r="BK8" s="102"/>
      <c r="BL8" s="102"/>
      <c r="BM8" s="102"/>
      <c r="BN8" s="102"/>
      <c r="BP8" s="102"/>
      <c r="BQ8" s="102"/>
      <c r="BR8" s="102"/>
      <c r="BS8" s="102"/>
      <c r="BT8" s="102"/>
    </row>
    <row r="9" spans="1:72" x14ac:dyDescent="0.25">
      <c r="H9" s="50" t="s">
        <v>21</v>
      </c>
      <c r="I9" s="54">
        <v>0.76100000000000001</v>
      </c>
      <c r="J9" s="4">
        <v>500</v>
      </c>
      <c r="K9" s="4">
        <v>500</v>
      </c>
      <c r="AF9" s="1" t="s">
        <v>104</v>
      </c>
      <c r="AG9" s="39">
        <v>0</v>
      </c>
      <c r="AH9" s="38">
        <v>2</v>
      </c>
      <c r="AI9" s="39">
        <v>0</v>
      </c>
      <c r="AJ9" s="38">
        <v>2</v>
      </c>
      <c r="AK9" s="39">
        <v>0</v>
      </c>
      <c r="AL9" s="39">
        <v>0</v>
      </c>
      <c r="AM9" s="38">
        <v>4</v>
      </c>
      <c r="AN9" s="39">
        <v>0</v>
      </c>
      <c r="AO9" s="38">
        <v>6</v>
      </c>
      <c r="AP9" s="38">
        <v>6</v>
      </c>
      <c r="AR9" s="102"/>
      <c r="AS9" s="102"/>
      <c r="AT9" s="102"/>
      <c r="AU9" s="102"/>
      <c r="AV9" s="102"/>
      <c r="AX9" s="102"/>
      <c r="AY9" s="102"/>
      <c r="AZ9" s="102"/>
      <c r="BA9" s="102"/>
      <c r="BB9" s="102"/>
      <c r="BD9" s="102"/>
      <c r="BE9" s="102"/>
      <c r="BF9" s="102"/>
      <c r="BG9" s="102"/>
      <c r="BH9" s="102"/>
      <c r="BJ9" s="102"/>
      <c r="BK9" s="102"/>
      <c r="BL9" s="102"/>
      <c r="BM9" s="102"/>
      <c r="BN9" s="102"/>
      <c r="BP9" s="102"/>
      <c r="BQ9" s="102"/>
      <c r="BR9" s="102"/>
      <c r="BS9" s="102"/>
      <c r="BT9" s="102"/>
    </row>
    <row r="10" spans="1:72" x14ac:dyDescent="0.25">
      <c r="H10" s="50" t="s">
        <v>19</v>
      </c>
      <c r="I10" s="54">
        <v>0.91400000000000003</v>
      </c>
      <c r="J10" s="4">
        <v>25000</v>
      </c>
      <c r="K10" s="4">
        <v>10000</v>
      </c>
      <c r="AF10" s="1" t="s">
        <v>105</v>
      </c>
      <c r="AG10" s="39">
        <v>0</v>
      </c>
      <c r="AH10" s="38">
        <v>3</v>
      </c>
      <c r="AI10" s="39">
        <v>0</v>
      </c>
      <c r="AJ10" s="38">
        <v>3</v>
      </c>
      <c r="AK10" s="39">
        <v>0</v>
      </c>
      <c r="AL10" s="39">
        <v>0</v>
      </c>
      <c r="AM10" s="37">
        <v>6</v>
      </c>
      <c r="AN10" s="39">
        <v>0</v>
      </c>
      <c r="AO10" s="38">
        <v>6</v>
      </c>
      <c r="AP10" s="38">
        <v>6</v>
      </c>
      <c r="AR10" s="102">
        <v>4</v>
      </c>
      <c r="AS10" s="102">
        <v>2</v>
      </c>
      <c r="AT10" s="102">
        <v>2</v>
      </c>
      <c r="AU10" s="102"/>
      <c r="AV10" s="102"/>
      <c r="AX10" s="102">
        <v>4</v>
      </c>
      <c r="AY10" s="102">
        <v>2</v>
      </c>
      <c r="AZ10" s="102"/>
      <c r="BA10" s="102"/>
      <c r="BB10" s="102"/>
      <c r="BD10" s="102">
        <v>4</v>
      </c>
      <c r="BE10" s="102">
        <v>2</v>
      </c>
      <c r="BF10" s="102"/>
      <c r="BG10" s="102"/>
      <c r="BH10" s="102"/>
      <c r="BJ10" s="102">
        <v>4</v>
      </c>
      <c r="BK10" s="102">
        <v>4</v>
      </c>
      <c r="BL10" s="102">
        <v>4</v>
      </c>
      <c r="BM10" s="102">
        <v>4</v>
      </c>
      <c r="BN10" s="102">
        <v>4</v>
      </c>
      <c r="BP10" s="102">
        <v>4</v>
      </c>
      <c r="BQ10" s="102"/>
      <c r="BR10" s="102"/>
      <c r="BS10" s="102"/>
      <c r="BT10" s="102"/>
    </row>
    <row r="11" spans="1:72" x14ac:dyDescent="0.25">
      <c r="H11" s="50" t="s">
        <v>22</v>
      </c>
      <c r="I11" s="54">
        <v>1.0149999999999999</v>
      </c>
      <c r="J11" s="4">
        <v>10000</v>
      </c>
      <c r="K11" s="4">
        <v>10000</v>
      </c>
      <c r="AF11" s="1" t="s">
        <v>106</v>
      </c>
      <c r="AG11" s="39">
        <v>0</v>
      </c>
      <c r="AH11" s="38">
        <v>2</v>
      </c>
      <c r="AI11" s="39">
        <v>0</v>
      </c>
      <c r="AJ11" s="38">
        <v>2</v>
      </c>
      <c r="AK11" s="39">
        <v>0</v>
      </c>
      <c r="AL11" s="39">
        <v>0</v>
      </c>
      <c r="AM11" s="40">
        <v>4</v>
      </c>
      <c r="AN11" s="39">
        <v>0</v>
      </c>
      <c r="AO11" s="38">
        <v>6</v>
      </c>
      <c r="AP11" s="38">
        <v>6</v>
      </c>
      <c r="AR11" s="102">
        <v>2</v>
      </c>
      <c r="AS11" s="102">
        <v>2</v>
      </c>
      <c r="AT11" s="102">
        <v>2</v>
      </c>
      <c r="AU11" s="102"/>
      <c r="AV11" s="102"/>
      <c r="AX11" s="102">
        <v>2</v>
      </c>
      <c r="AY11" s="102">
        <v>2</v>
      </c>
      <c r="AZ11" s="102"/>
      <c r="BA11" s="102"/>
      <c r="BB11" s="102"/>
      <c r="BD11" s="102">
        <v>2</v>
      </c>
      <c r="BE11" s="102">
        <v>2</v>
      </c>
      <c r="BF11" s="102"/>
      <c r="BG11" s="102"/>
      <c r="BH11" s="102"/>
      <c r="BJ11" s="102">
        <v>2</v>
      </c>
      <c r="BK11" s="102">
        <v>2</v>
      </c>
      <c r="BL11" s="102">
        <v>2</v>
      </c>
      <c r="BM11" s="102">
        <v>2</v>
      </c>
      <c r="BN11" s="102">
        <v>2</v>
      </c>
      <c r="BP11" s="102">
        <v>4</v>
      </c>
      <c r="BQ11" s="102"/>
      <c r="BR11" s="102"/>
      <c r="BS11" s="102"/>
      <c r="BT11" s="102"/>
    </row>
    <row r="12" spans="1:72" x14ac:dyDescent="0.25">
      <c r="H12" s="50" t="s">
        <v>11</v>
      </c>
      <c r="I12" s="54">
        <v>0.76100000000000001</v>
      </c>
      <c r="J12" s="4">
        <v>15000</v>
      </c>
      <c r="K12" s="4">
        <v>15000</v>
      </c>
      <c r="AF12" s="1" t="s">
        <v>107</v>
      </c>
      <c r="AG12" s="39">
        <v>0</v>
      </c>
      <c r="AH12" s="38">
        <v>4</v>
      </c>
      <c r="AI12" s="39">
        <v>0</v>
      </c>
      <c r="AJ12" s="38">
        <v>2</v>
      </c>
      <c r="AK12" s="39">
        <v>0</v>
      </c>
      <c r="AL12" s="39">
        <v>0</v>
      </c>
      <c r="AM12" s="38">
        <v>8</v>
      </c>
      <c r="AN12" s="39">
        <v>0</v>
      </c>
      <c r="AO12" s="38">
        <v>9</v>
      </c>
      <c r="AP12" s="38">
        <v>9</v>
      </c>
      <c r="AR12" s="102" t="s">
        <v>2</v>
      </c>
      <c r="AS12" s="102" t="s">
        <v>2</v>
      </c>
      <c r="AT12" s="102" t="s">
        <v>2</v>
      </c>
      <c r="AU12" s="102"/>
      <c r="AV12" s="102"/>
      <c r="AX12" s="102" t="s">
        <v>2</v>
      </c>
      <c r="AY12" s="102" t="s">
        <v>2</v>
      </c>
      <c r="AZ12" s="102"/>
      <c r="BA12" s="102"/>
      <c r="BB12" s="102"/>
      <c r="BD12" s="102" t="s">
        <v>2</v>
      </c>
      <c r="BE12" s="102" t="s">
        <v>2</v>
      </c>
      <c r="BF12" s="102"/>
      <c r="BG12" s="102"/>
      <c r="BH12" s="102"/>
      <c r="BJ12" s="102" t="s">
        <v>1</v>
      </c>
      <c r="BK12" s="102" t="s">
        <v>1</v>
      </c>
      <c r="BL12" s="102" t="s">
        <v>1</v>
      </c>
      <c r="BM12" s="102" t="s">
        <v>1</v>
      </c>
      <c r="BN12" s="102" t="s">
        <v>1</v>
      </c>
      <c r="BP12" s="102" t="s">
        <v>1</v>
      </c>
      <c r="BQ12" s="102"/>
      <c r="BR12" s="102"/>
      <c r="BS12" s="102"/>
      <c r="BT12" s="102"/>
    </row>
    <row r="13" spans="1:72" x14ac:dyDescent="0.25">
      <c r="H13" s="50" t="s">
        <v>10</v>
      </c>
      <c r="I13" s="54">
        <v>1.0149999999999999</v>
      </c>
      <c r="J13" s="4">
        <v>50000</v>
      </c>
      <c r="K13" s="4">
        <v>50000</v>
      </c>
      <c r="AF13" s="1" t="s">
        <v>108</v>
      </c>
      <c r="AG13" s="39">
        <v>0</v>
      </c>
      <c r="AH13" s="38">
        <v>2</v>
      </c>
      <c r="AI13" s="39">
        <v>0</v>
      </c>
      <c r="AJ13" s="38">
        <v>2</v>
      </c>
      <c r="AK13" s="39">
        <v>0</v>
      </c>
      <c r="AL13" s="39">
        <v>0</v>
      </c>
      <c r="AM13" s="38">
        <v>4</v>
      </c>
      <c r="AN13" s="39">
        <v>0</v>
      </c>
      <c r="AO13" s="38">
        <v>8</v>
      </c>
      <c r="AP13" s="38">
        <v>9</v>
      </c>
      <c r="AR13" s="102">
        <v>1000</v>
      </c>
      <c r="AS13" s="102">
        <v>1000</v>
      </c>
      <c r="AT13" s="102">
        <v>1000</v>
      </c>
      <c r="AU13" s="102"/>
      <c r="AV13" s="102"/>
      <c r="AX13" s="102">
        <v>1000</v>
      </c>
      <c r="AY13" s="102">
        <v>1000</v>
      </c>
      <c r="AZ13" s="102"/>
      <c r="BA13" s="102"/>
      <c r="BB13" s="102"/>
      <c r="BD13" s="102">
        <v>1000</v>
      </c>
      <c r="BE13" s="102">
        <v>1000</v>
      </c>
      <c r="BF13" s="102"/>
      <c r="BG13" s="102"/>
      <c r="BH13" s="102"/>
      <c r="BJ13" s="102">
        <v>1000</v>
      </c>
      <c r="BK13" s="102">
        <v>1000</v>
      </c>
      <c r="BL13" s="102">
        <v>1000</v>
      </c>
      <c r="BM13" s="102">
        <v>1000</v>
      </c>
      <c r="BN13" s="102">
        <v>1000</v>
      </c>
      <c r="BP13" s="102">
        <v>1000</v>
      </c>
      <c r="BQ13" s="102"/>
      <c r="BR13" s="102"/>
      <c r="BS13" s="102"/>
      <c r="BT13" s="102"/>
    </row>
    <row r="14" spans="1:72" x14ac:dyDescent="0.25">
      <c r="H14" s="50" t="s">
        <v>15</v>
      </c>
      <c r="I14" s="54">
        <v>1.37</v>
      </c>
      <c r="J14" s="4">
        <v>50000</v>
      </c>
      <c r="K14" s="4">
        <v>20000</v>
      </c>
      <c r="AF14" s="1" t="s">
        <v>109</v>
      </c>
      <c r="AG14" s="39">
        <v>0</v>
      </c>
      <c r="AH14" s="38">
        <v>2</v>
      </c>
      <c r="AI14" s="39">
        <v>0</v>
      </c>
      <c r="AJ14" s="38">
        <v>2</v>
      </c>
      <c r="AK14" s="39">
        <v>0</v>
      </c>
      <c r="AL14" s="39">
        <v>0</v>
      </c>
      <c r="AM14" s="38">
        <v>4</v>
      </c>
      <c r="AN14" s="39">
        <v>0</v>
      </c>
      <c r="AO14" s="38">
        <v>9</v>
      </c>
      <c r="AP14" s="38">
        <v>9</v>
      </c>
    </row>
    <row r="15" spans="1:72" x14ac:dyDescent="0.25">
      <c r="H15" s="50" t="s">
        <v>14</v>
      </c>
      <c r="I15" s="54">
        <v>1.0660000000000001</v>
      </c>
      <c r="J15" s="4">
        <v>50000</v>
      </c>
      <c r="K15" s="4">
        <v>15000</v>
      </c>
      <c r="AF15" s="1" t="s">
        <v>110</v>
      </c>
      <c r="AG15" s="39">
        <v>0</v>
      </c>
      <c r="AH15" s="38">
        <v>2</v>
      </c>
      <c r="AI15" s="39">
        <v>0</v>
      </c>
      <c r="AJ15" s="38">
        <v>2</v>
      </c>
      <c r="AK15" s="39">
        <v>0</v>
      </c>
      <c r="AL15" s="39">
        <v>0</v>
      </c>
      <c r="AM15" s="38">
        <v>4</v>
      </c>
      <c r="AN15" s="39">
        <v>0</v>
      </c>
      <c r="AO15" s="38">
        <v>6</v>
      </c>
      <c r="AP15" s="38">
        <v>9</v>
      </c>
    </row>
    <row r="16" spans="1:72" x14ac:dyDescent="0.25">
      <c r="AF16" s="1" t="s">
        <v>111</v>
      </c>
      <c r="AG16" s="39">
        <v>0</v>
      </c>
      <c r="AH16" s="38">
        <v>2</v>
      </c>
      <c r="AI16" s="39">
        <v>0</v>
      </c>
      <c r="AJ16" s="38">
        <v>2</v>
      </c>
      <c r="AK16" s="39">
        <v>0</v>
      </c>
      <c r="AL16" s="39">
        <v>0</v>
      </c>
      <c r="AM16" s="38">
        <v>8</v>
      </c>
      <c r="AN16" s="39">
        <v>0</v>
      </c>
      <c r="AO16" s="38">
        <v>8</v>
      </c>
      <c r="AP16" s="38">
        <v>9</v>
      </c>
    </row>
    <row r="17" spans="32:42" x14ac:dyDescent="0.25">
      <c r="AF17" s="1" t="s">
        <v>112</v>
      </c>
      <c r="AG17" s="39">
        <v>0</v>
      </c>
      <c r="AH17" s="38">
        <v>2</v>
      </c>
      <c r="AI17" s="39">
        <v>0</v>
      </c>
      <c r="AJ17" s="38">
        <v>2</v>
      </c>
      <c r="AK17" s="39">
        <v>0</v>
      </c>
      <c r="AL17" s="39">
        <v>0</v>
      </c>
      <c r="AM17" s="38">
        <v>4</v>
      </c>
      <c r="AN17" s="39">
        <v>0</v>
      </c>
      <c r="AO17" s="38">
        <v>8</v>
      </c>
      <c r="AP17" s="38">
        <v>8</v>
      </c>
    </row>
    <row r="18" spans="32:42" x14ac:dyDescent="0.25">
      <c r="AF18" s="1" t="s">
        <v>63</v>
      </c>
      <c r="AG18" s="39">
        <v>0</v>
      </c>
      <c r="AH18" s="38">
        <v>2</v>
      </c>
      <c r="AI18" s="39">
        <v>0</v>
      </c>
      <c r="AJ18" s="38">
        <v>2</v>
      </c>
      <c r="AK18" s="39">
        <v>0</v>
      </c>
      <c r="AL18" s="39">
        <v>0</v>
      </c>
      <c r="AM18" s="38">
        <v>4</v>
      </c>
      <c r="AN18" s="39">
        <v>0</v>
      </c>
      <c r="AO18" s="38">
        <v>8</v>
      </c>
      <c r="AP18" s="38">
        <v>9</v>
      </c>
    </row>
    <row r="19" spans="32:42" x14ac:dyDescent="0.25">
      <c r="AF19" s="1" t="s">
        <v>113</v>
      </c>
      <c r="AG19" s="39">
        <v>0</v>
      </c>
      <c r="AH19" s="38">
        <v>2</v>
      </c>
      <c r="AI19" s="39">
        <v>0</v>
      </c>
      <c r="AJ19" s="38">
        <v>2</v>
      </c>
      <c r="AK19" s="39">
        <v>0</v>
      </c>
      <c r="AL19" s="39">
        <v>0</v>
      </c>
      <c r="AM19" s="38">
        <v>4</v>
      </c>
      <c r="AN19" s="39">
        <v>0</v>
      </c>
      <c r="AO19" s="38">
        <v>4</v>
      </c>
      <c r="AP19" s="38">
        <v>8</v>
      </c>
    </row>
    <row r="20" spans="32:42" x14ac:dyDescent="0.25">
      <c r="AF20" s="1" t="s">
        <v>114</v>
      </c>
      <c r="AG20" s="39">
        <v>0</v>
      </c>
      <c r="AH20" s="38">
        <v>2</v>
      </c>
      <c r="AI20" s="39">
        <v>0</v>
      </c>
      <c r="AJ20" s="38">
        <v>2</v>
      </c>
      <c r="AK20" s="39">
        <v>0</v>
      </c>
      <c r="AL20" s="39">
        <v>0</v>
      </c>
      <c r="AM20" s="38">
        <v>4</v>
      </c>
      <c r="AN20" s="39">
        <v>0</v>
      </c>
      <c r="AO20" s="38">
        <v>6</v>
      </c>
      <c r="AP20" s="38">
        <v>8</v>
      </c>
    </row>
    <row r="21" spans="32:42" x14ac:dyDescent="0.25">
      <c r="AF21" s="1" t="s">
        <v>115</v>
      </c>
      <c r="AG21" s="39">
        <v>0</v>
      </c>
      <c r="AH21" s="38">
        <v>2</v>
      </c>
      <c r="AI21" s="39">
        <v>0</v>
      </c>
      <c r="AJ21" s="38">
        <v>2</v>
      </c>
      <c r="AK21" s="39">
        <v>0</v>
      </c>
      <c r="AL21" s="39">
        <v>0</v>
      </c>
      <c r="AM21" s="38">
        <v>4</v>
      </c>
      <c r="AN21" s="39">
        <v>0</v>
      </c>
      <c r="AO21" s="38">
        <v>4</v>
      </c>
      <c r="AP21" s="38">
        <v>6</v>
      </c>
    </row>
    <row r="22" spans="32:42" x14ac:dyDescent="0.25">
      <c r="AF22" s="1" t="s">
        <v>116</v>
      </c>
      <c r="AG22" s="39">
        <v>0</v>
      </c>
      <c r="AH22" s="38">
        <v>2</v>
      </c>
      <c r="AI22" s="39">
        <v>0</v>
      </c>
      <c r="AJ22" s="38">
        <v>2</v>
      </c>
      <c r="AK22" s="39">
        <v>0</v>
      </c>
      <c r="AL22" s="39">
        <v>0</v>
      </c>
      <c r="AM22" s="38">
        <v>4</v>
      </c>
      <c r="AN22" s="39">
        <v>0</v>
      </c>
      <c r="AO22" s="38">
        <v>6</v>
      </c>
      <c r="AP22" s="38">
        <v>6</v>
      </c>
    </row>
    <row r="23" spans="32:42" x14ac:dyDescent="0.25">
      <c r="AF23" s="1" t="s">
        <v>117</v>
      </c>
      <c r="AG23" s="39">
        <v>0</v>
      </c>
      <c r="AH23" s="38">
        <v>2</v>
      </c>
      <c r="AI23" s="39">
        <v>0</v>
      </c>
      <c r="AJ23" s="38">
        <v>2</v>
      </c>
      <c r="AK23" s="39">
        <v>0</v>
      </c>
      <c r="AL23" s="39">
        <v>0</v>
      </c>
      <c r="AM23" s="38">
        <v>4</v>
      </c>
      <c r="AN23" s="39">
        <v>0</v>
      </c>
      <c r="AO23" s="38">
        <v>4</v>
      </c>
      <c r="AP23" s="38">
        <v>6</v>
      </c>
    </row>
    <row r="24" spans="32:42" x14ac:dyDescent="0.25">
      <c r="AF24" s="1" t="s">
        <v>118</v>
      </c>
      <c r="AG24" s="39">
        <v>0</v>
      </c>
      <c r="AH24" s="38">
        <v>1</v>
      </c>
      <c r="AI24" s="39">
        <v>0</v>
      </c>
      <c r="AJ24" s="38">
        <v>1</v>
      </c>
      <c r="AK24" s="39">
        <v>0</v>
      </c>
      <c r="AL24" s="39">
        <v>0</v>
      </c>
      <c r="AM24" s="38">
        <v>4</v>
      </c>
      <c r="AN24" s="39">
        <v>0</v>
      </c>
      <c r="AO24" s="38">
        <v>4</v>
      </c>
      <c r="AP24" s="38">
        <v>4</v>
      </c>
    </row>
    <row r="25" spans="32:42" x14ac:dyDescent="0.25">
      <c r="AF25" s="1" t="s">
        <v>119</v>
      </c>
      <c r="AG25" s="39">
        <v>0</v>
      </c>
      <c r="AH25" s="38">
        <v>1</v>
      </c>
      <c r="AI25" s="39">
        <v>0</v>
      </c>
      <c r="AJ25" s="38">
        <v>1</v>
      </c>
      <c r="AK25" s="39">
        <v>0</v>
      </c>
      <c r="AL25" s="39">
        <v>0</v>
      </c>
      <c r="AM25" s="38">
        <v>4</v>
      </c>
      <c r="AN25" s="39">
        <v>0</v>
      </c>
      <c r="AO25" s="38">
        <v>4</v>
      </c>
      <c r="AP25" s="38">
        <v>4</v>
      </c>
    </row>
    <row r="26" spans="32:42" x14ac:dyDescent="0.25">
      <c r="AF26" s="1" t="s">
        <v>120</v>
      </c>
      <c r="AG26" s="39">
        <v>0</v>
      </c>
      <c r="AH26" s="38">
        <v>1</v>
      </c>
      <c r="AI26" s="39">
        <v>0</v>
      </c>
      <c r="AJ26" s="38">
        <v>2</v>
      </c>
      <c r="AK26" s="39">
        <v>0</v>
      </c>
      <c r="AL26" s="39">
        <v>0</v>
      </c>
      <c r="AM26" s="38">
        <v>4</v>
      </c>
      <c r="AN26" s="39">
        <v>0</v>
      </c>
      <c r="AO26" s="38">
        <v>4</v>
      </c>
      <c r="AP26" s="38">
        <v>4</v>
      </c>
    </row>
    <row r="27" spans="32:42" x14ac:dyDescent="0.25">
      <c r="AF27" s="1" t="s">
        <v>64</v>
      </c>
      <c r="AG27" s="39">
        <v>0</v>
      </c>
      <c r="AH27" s="38">
        <v>1</v>
      </c>
      <c r="AI27" s="39">
        <v>0</v>
      </c>
      <c r="AJ27" s="38">
        <v>2</v>
      </c>
      <c r="AK27" s="39">
        <v>0</v>
      </c>
      <c r="AL27" s="39">
        <v>0</v>
      </c>
      <c r="AM27" s="38">
        <v>2</v>
      </c>
      <c r="AN27" s="39">
        <v>0</v>
      </c>
      <c r="AO27" s="38">
        <v>4</v>
      </c>
      <c r="AP27" s="38">
        <v>4</v>
      </c>
    </row>
    <row r="28" spans="32:42" x14ac:dyDescent="0.25">
      <c r="AF28" s="1" t="s">
        <v>121</v>
      </c>
      <c r="AG28" s="39">
        <v>0</v>
      </c>
      <c r="AH28" s="38">
        <v>1</v>
      </c>
      <c r="AI28" s="39">
        <v>0</v>
      </c>
      <c r="AJ28" s="38">
        <v>2</v>
      </c>
      <c r="AK28" s="39">
        <v>0</v>
      </c>
      <c r="AL28" s="39">
        <v>0</v>
      </c>
      <c r="AM28" s="38">
        <v>4</v>
      </c>
      <c r="AN28" s="39">
        <v>0</v>
      </c>
      <c r="AO28" s="38">
        <v>4</v>
      </c>
      <c r="AP28" s="38">
        <v>4</v>
      </c>
    </row>
    <row r="29" spans="32:42" x14ac:dyDescent="0.25">
      <c r="AF29" s="1" t="s">
        <v>122</v>
      </c>
      <c r="AG29" s="39">
        <v>0</v>
      </c>
      <c r="AH29" s="38">
        <v>1</v>
      </c>
      <c r="AI29" s="39">
        <v>0</v>
      </c>
      <c r="AJ29" s="38">
        <v>2</v>
      </c>
      <c r="AK29" s="39">
        <v>0</v>
      </c>
      <c r="AL29" s="39">
        <v>0</v>
      </c>
      <c r="AM29" s="38">
        <v>2</v>
      </c>
      <c r="AN29" s="39">
        <v>0</v>
      </c>
      <c r="AO29" s="38">
        <v>4</v>
      </c>
      <c r="AP29" s="38">
        <v>4</v>
      </c>
    </row>
    <row r="30" spans="32:42" x14ac:dyDescent="0.25">
      <c r="AF30" s="1" t="s">
        <v>123</v>
      </c>
      <c r="AG30" s="39">
        <v>0</v>
      </c>
      <c r="AH30" s="38">
        <v>1</v>
      </c>
      <c r="AI30" s="39">
        <v>0</v>
      </c>
      <c r="AJ30" s="38">
        <v>2</v>
      </c>
      <c r="AK30" s="39">
        <v>0</v>
      </c>
      <c r="AL30" s="39">
        <v>0</v>
      </c>
      <c r="AM30" s="38">
        <v>4</v>
      </c>
      <c r="AN30" s="39">
        <v>0</v>
      </c>
      <c r="AO30" s="38">
        <v>4</v>
      </c>
      <c r="AP30" s="38">
        <v>4</v>
      </c>
    </row>
    <row r="31" spans="32:42" x14ac:dyDescent="0.25">
      <c r="AF31" s="1" t="s">
        <v>65</v>
      </c>
      <c r="AG31" s="39">
        <v>0</v>
      </c>
      <c r="AH31" s="38">
        <v>1</v>
      </c>
      <c r="AI31" s="39">
        <v>0</v>
      </c>
      <c r="AJ31" s="38">
        <v>1</v>
      </c>
      <c r="AK31" s="39">
        <v>0</v>
      </c>
      <c r="AL31" s="39">
        <v>0</v>
      </c>
      <c r="AM31" s="38">
        <v>2</v>
      </c>
      <c r="AN31" s="39">
        <v>0</v>
      </c>
      <c r="AO31" s="38">
        <v>4</v>
      </c>
      <c r="AP31" s="38">
        <v>4</v>
      </c>
    </row>
    <row r="32" spans="32:42" x14ac:dyDescent="0.25">
      <c r="AF32" s="1" t="s">
        <v>124</v>
      </c>
      <c r="AG32" s="39">
        <v>0</v>
      </c>
      <c r="AH32" s="38">
        <v>1</v>
      </c>
      <c r="AI32" s="39">
        <v>0</v>
      </c>
      <c r="AJ32" s="38">
        <v>1</v>
      </c>
      <c r="AK32" s="39">
        <v>0</v>
      </c>
      <c r="AL32" s="39">
        <v>0</v>
      </c>
      <c r="AM32" s="38">
        <v>1</v>
      </c>
      <c r="AN32" s="39">
        <v>0</v>
      </c>
      <c r="AO32" s="38">
        <v>2</v>
      </c>
      <c r="AP32" s="38">
        <v>2</v>
      </c>
    </row>
    <row r="33" spans="32:42" x14ac:dyDescent="0.25">
      <c r="AF33" s="1" t="s">
        <v>125</v>
      </c>
      <c r="AG33" s="39">
        <v>0</v>
      </c>
      <c r="AH33" s="38">
        <v>1E-3</v>
      </c>
      <c r="AI33" s="39">
        <v>0</v>
      </c>
      <c r="AJ33" s="38">
        <v>1</v>
      </c>
      <c r="AK33" s="39">
        <v>0</v>
      </c>
      <c r="AL33" s="39">
        <v>0</v>
      </c>
      <c r="AM33" s="38">
        <v>1</v>
      </c>
      <c r="AN33" s="39">
        <v>0</v>
      </c>
      <c r="AO33" s="38">
        <v>2</v>
      </c>
      <c r="AP33" s="38">
        <v>2</v>
      </c>
    </row>
    <row r="34" spans="32:42" x14ac:dyDescent="0.25">
      <c r="AF34" s="1" t="s">
        <v>126</v>
      </c>
      <c r="AG34" s="39">
        <v>0</v>
      </c>
      <c r="AH34" s="38">
        <v>1</v>
      </c>
      <c r="AI34" s="39">
        <v>0</v>
      </c>
      <c r="AJ34" s="38">
        <v>1E-3</v>
      </c>
      <c r="AK34" s="39">
        <v>0</v>
      </c>
      <c r="AL34" s="39">
        <v>0</v>
      </c>
      <c r="AM34" s="38">
        <v>2</v>
      </c>
      <c r="AN34" s="39">
        <v>0</v>
      </c>
      <c r="AO34" s="38">
        <v>3</v>
      </c>
      <c r="AP34" s="38">
        <v>3</v>
      </c>
    </row>
    <row r="35" spans="32:42" x14ac:dyDescent="0.25">
      <c r="AF35" s="1" t="s">
        <v>127</v>
      </c>
      <c r="AG35" s="39">
        <v>0</v>
      </c>
      <c r="AH35" s="38">
        <v>1</v>
      </c>
      <c r="AI35" s="39">
        <v>0</v>
      </c>
      <c r="AJ35" s="38">
        <v>1E-3</v>
      </c>
      <c r="AK35" s="39">
        <v>0</v>
      </c>
      <c r="AL35" s="39">
        <v>0</v>
      </c>
      <c r="AM35" s="38">
        <v>2</v>
      </c>
      <c r="AN35" s="39">
        <v>0</v>
      </c>
      <c r="AO35" s="38">
        <v>2</v>
      </c>
      <c r="AP35" s="38">
        <v>3</v>
      </c>
    </row>
    <row r="36" spans="32:42" x14ac:dyDescent="0.25">
      <c r="AF36" s="1" t="s">
        <v>128</v>
      </c>
      <c r="AG36" s="39">
        <v>0</v>
      </c>
      <c r="AH36" s="38">
        <v>1</v>
      </c>
      <c r="AI36" s="39">
        <v>0</v>
      </c>
      <c r="AJ36" s="38">
        <v>1</v>
      </c>
      <c r="AK36" s="39">
        <v>0</v>
      </c>
      <c r="AL36" s="39">
        <v>0</v>
      </c>
      <c r="AM36" s="38">
        <v>2</v>
      </c>
      <c r="AN36" s="39">
        <v>0</v>
      </c>
      <c r="AO36" s="38">
        <v>3</v>
      </c>
      <c r="AP36" s="38">
        <v>3</v>
      </c>
    </row>
    <row r="37" spans="32:42" x14ac:dyDescent="0.25">
      <c r="AF37" s="1" t="s">
        <v>129</v>
      </c>
      <c r="AG37" s="39">
        <v>0</v>
      </c>
      <c r="AH37" s="38">
        <v>1</v>
      </c>
      <c r="AI37" s="39">
        <v>0</v>
      </c>
      <c r="AJ37" s="38">
        <v>1</v>
      </c>
      <c r="AK37" s="39">
        <v>0</v>
      </c>
      <c r="AL37" s="39">
        <v>0</v>
      </c>
      <c r="AM37" s="38">
        <v>2</v>
      </c>
      <c r="AN37" s="39">
        <v>0</v>
      </c>
      <c r="AO37" s="38">
        <v>2</v>
      </c>
      <c r="AP37" s="38">
        <v>3</v>
      </c>
    </row>
    <row r="38" spans="32:42" x14ac:dyDescent="0.25">
      <c r="AF38" s="1" t="s">
        <v>130</v>
      </c>
      <c r="AG38" s="39">
        <v>0</v>
      </c>
      <c r="AH38" s="38">
        <v>1</v>
      </c>
      <c r="AI38" s="39">
        <v>0</v>
      </c>
      <c r="AJ38" s="38">
        <v>1</v>
      </c>
      <c r="AK38" s="39">
        <v>0</v>
      </c>
      <c r="AL38" s="39">
        <v>0</v>
      </c>
      <c r="AM38" s="38">
        <v>2</v>
      </c>
      <c r="AN38" s="39">
        <v>0</v>
      </c>
      <c r="AO38" s="38">
        <v>3</v>
      </c>
      <c r="AP38" s="38">
        <v>3</v>
      </c>
    </row>
    <row r="39" spans="32:42" x14ac:dyDescent="0.25">
      <c r="AF39" s="1" t="s">
        <v>131</v>
      </c>
      <c r="AG39" s="39">
        <v>0</v>
      </c>
      <c r="AH39" s="38">
        <v>1</v>
      </c>
      <c r="AI39" s="39">
        <v>0</v>
      </c>
      <c r="AJ39" s="38">
        <v>1</v>
      </c>
      <c r="AK39" s="39">
        <v>0</v>
      </c>
      <c r="AL39" s="39">
        <v>0</v>
      </c>
      <c r="AM39" s="38">
        <v>1</v>
      </c>
      <c r="AN39" s="39">
        <v>0</v>
      </c>
      <c r="AO39" s="38">
        <v>2</v>
      </c>
      <c r="AP39" s="38">
        <v>3</v>
      </c>
    </row>
    <row r="40" spans="32:42" x14ac:dyDescent="0.25">
      <c r="AF40" s="1" t="s">
        <v>132</v>
      </c>
      <c r="AG40" s="39">
        <v>0</v>
      </c>
      <c r="AH40" s="38">
        <v>1</v>
      </c>
      <c r="AI40" s="39">
        <v>0</v>
      </c>
      <c r="AJ40" s="38">
        <v>1</v>
      </c>
      <c r="AK40" s="39">
        <v>0</v>
      </c>
      <c r="AL40" s="39">
        <v>0</v>
      </c>
      <c r="AM40" s="38">
        <v>1</v>
      </c>
      <c r="AN40" s="39">
        <v>0</v>
      </c>
      <c r="AO40" s="38">
        <v>2</v>
      </c>
      <c r="AP40" s="38">
        <v>2</v>
      </c>
    </row>
    <row r="41" spans="32:42" x14ac:dyDescent="0.25">
      <c r="AF41" s="1" t="s">
        <v>66</v>
      </c>
      <c r="AG41" s="39">
        <v>0</v>
      </c>
      <c r="AH41" s="38">
        <v>1E-3</v>
      </c>
      <c r="AI41" s="39">
        <v>0</v>
      </c>
      <c r="AJ41" s="38">
        <v>1</v>
      </c>
      <c r="AK41" s="39">
        <v>0</v>
      </c>
      <c r="AL41" s="39">
        <v>0</v>
      </c>
      <c r="AM41" s="38">
        <v>1</v>
      </c>
      <c r="AN41" s="39">
        <v>0</v>
      </c>
      <c r="AO41" s="38">
        <v>1</v>
      </c>
      <c r="AP41" s="38">
        <v>2</v>
      </c>
    </row>
    <row r="42" spans="32:42" x14ac:dyDescent="0.25">
      <c r="AF42" s="1" t="s">
        <v>133</v>
      </c>
      <c r="AG42" s="39">
        <v>0</v>
      </c>
      <c r="AH42" s="38">
        <v>1</v>
      </c>
      <c r="AI42" s="39">
        <v>0</v>
      </c>
      <c r="AJ42" s="38">
        <v>1E-3</v>
      </c>
      <c r="AK42" s="39">
        <v>0</v>
      </c>
      <c r="AL42" s="39">
        <v>0</v>
      </c>
      <c r="AM42" s="38">
        <v>2</v>
      </c>
      <c r="AN42" s="39">
        <v>0</v>
      </c>
      <c r="AO42" s="38">
        <v>4</v>
      </c>
      <c r="AP42" s="38">
        <v>4</v>
      </c>
    </row>
    <row r="43" spans="32:42" x14ac:dyDescent="0.25">
      <c r="AF43" s="1" t="s">
        <v>134</v>
      </c>
      <c r="AG43" s="39">
        <v>0</v>
      </c>
      <c r="AH43" s="38">
        <v>1E-3</v>
      </c>
      <c r="AI43" s="39">
        <v>0</v>
      </c>
      <c r="AJ43" s="38">
        <v>1E-3</v>
      </c>
      <c r="AK43" s="39">
        <v>0</v>
      </c>
      <c r="AL43" s="39">
        <v>0</v>
      </c>
      <c r="AM43" s="38">
        <v>2</v>
      </c>
      <c r="AN43" s="39">
        <v>0</v>
      </c>
      <c r="AO43" s="38">
        <v>2</v>
      </c>
      <c r="AP43" s="38">
        <v>4</v>
      </c>
    </row>
    <row r="44" spans="32:42" x14ac:dyDescent="0.25">
      <c r="AF44" s="1" t="s">
        <v>135</v>
      </c>
      <c r="AG44" s="39">
        <v>0</v>
      </c>
      <c r="AH44" s="38">
        <v>1</v>
      </c>
      <c r="AI44" s="39">
        <v>0</v>
      </c>
      <c r="AJ44" s="38">
        <v>2</v>
      </c>
      <c r="AK44" s="39">
        <v>0</v>
      </c>
      <c r="AL44" s="39">
        <v>0</v>
      </c>
      <c r="AM44" s="38">
        <v>2</v>
      </c>
      <c r="AN44" s="39">
        <v>0</v>
      </c>
      <c r="AO44" s="38">
        <v>4</v>
      </c>
      <c r="AP44" s="38">
        <v>4</v>
      </c>
    </row>
    <row r="45" spans="32:42" x14ac:dyDescent="0.25">
      <c r="AF45" s="1" t="s">
        <v>136</v>
      </c>
      <c r="AG45" s="39">
        <v>0</v>
      </c>
      <c r="AH45" s="38">
        <v>1</v>
      </c>
      <c r="AI45" s="39">
        <v>0</v>
      </c>
      <c r="AJ45" s="38">
        <v>2</v>
      </c>
      <c r="AK45" s="39">
        <v>0</v>
      </c>
      <c r="AL45" s="39">
        <v>0</v>
      </c>
      <c r="AM45" s="38">
        <v>2</v>
      </c>
      <c r="AN45" s="39">
        <v>0</v>
      </c>
      <c r="AO45" s="38">
        <v>2</v>
      </c>
      <c r="AP45" s="38">
        <v>4</v>
      </c>
    </row>
    <row r="46" spans="32:42" x14ac:dyDescent="0.25">
      <c r="AF46" s="1" t="s">
        <v>137</v>
      </c>
      <c r="AG46" s="39">
        <v>0</v>
      </c>
      <c r="AH46" s="38">
        <v>1</v>
      </c>
      <c r="AI46" s="39">
        <v>0</v>
      </c>
      <c r="AJ46" s="38">
        <v>1</v>
      </c>
      <c r="AK46" s="39">
        <v>0</v>
      </c>
      <c r="AL46" s="39">
        <v>0</v>
      </c>
      <c r="AM46" s="38">
        <v>2</v>
      </c>
      <c r="AN46" s="39">
        <v>0</v>
      </c>
      <c r="AO46" s="38">
        <v>4</v>
      </c>
      <c r="AP46" s="38">
        <v>4</v>
      </c>
    </row>
    <row r="47" spans="32:42" x14ac:dyDescent="0.25">
      <c r="AF47" s="1" t="s">
        <v>138</v>
      </c>
      <c r="AG47" s="39">
        <v>0</v>
      </c>
      <c r="AH47" s="38">
        <v>1</v>
      </c>
      <c r="AI47" s="39">
        <v>0</v>
      </c>
      <c r="AJ47" s="38">
        <v>1</v>
      </c>
      <c r="AK47" s="39">
        <v>0</v>
      </c>
      <c r="AL47" s="39">
        <v>0</v>
      </c>
      <c r="AM47" s="38">
        <v>2</v>
      </c>
      <c r="AN47" s="39">
        <v>0</v>
      </c>
      <c r="AO47" s="38">
        <v>2</v>
      </c>
      <c r="AP47" s="38">
        <v>4</v>
      </c>
    </row>
    <row r="48" spans="32:42" x14ac:dyDescent="0.25">
      <c r="AF48" s="1" t="s">
        <v>139</v>
      </c>
      <c r="AG48" s="39">
        <v>0</v>
      </c>
      <c r="AH48" s="38">
        <v>1</v>
      </c>
      <c r="AI48" s="39">
        <v>0</v>
      </c>
      <c r="AJ48" s="38">
        <v>1</v>
      </c>
      <c r="AK48" s="39">
        <v>0</v>
      </c>
      <c r="AL48" s="39">
        <v>0</v>
      </c>
      <c r="AM48" s="38">
        <v>2</v>
      </c>
      <c r="AN48" s="39">
        <v>0</v>
      </c>
      <c r="AO48" s="38">
        <v>4</v>
      </c>
      <c r="AP48" s="38">
        <v>4</v>
      </c>
    </row>
    <row r="49" spans="32:42" x14ac:dyDescent="0.25">
      <c r="AF49" s="1" t="s">
        <v>140</v>
      </c>
      <c r="AG49" s="39">
        <v>0</v>
      </c>
      <c r="AH49" s="38">
        <v>1</v>
      </c>
      <c r="AI49" s="39">
        <v>0</v>
      </c>
      <c r="AJ49" s="38">
        <v>1</v>
      </c>
      <c r="AK49" s="39">
        <v>0</v>
      </c>
      <c r="AL49" s="39">
        <v>0</v>
      </c>
      <c r="AM49" s="38">
        <v>2</v>
      </c>
      <c r="AN49" s="39">
        <v>0</v>
      </c>
      <c r="AO49" s="38">
        <v>2</v>
      </c>
      <c r="AP49" s="38">
        <v>4</v>
      </c>
    </row>
    <row r="50" spans="32:42" x14ac:dyDescent="0.25">
      <c r="AF50" s="1" t="s">
        <v>141</v>
      </c>
      <c r="AG50" s="39">
        <v>0</v>
      </c>
      <c r="AH50" s="38">
        <v>1</v>
      </c>
      <c r="AI50" s="39">
        <v>0</v>
      </c>
      <c r="AJ50" s="38">
        <v>1</v>
      </c>
      <c r="AK50" s="39">
        <v>0</v>
      </c>
      <c r="AL50" s="39">
        <v>0</v>
      </c>
      <c r="AM50" s="38">
        <v>2</v>
      </c>
      <c r="AN50" s="39">
        <v>0</v>
      </c>
      <c r="AO50" s="38">
        <v>2</v>
      </c>
      <c r="AP50" s="38">
        <v>2</v>
      </c>
    </row>
    <row r="51" spans="32:42" x14ac:dyDescent="0.25">
      <c r="AF51" s="1" t="s">
        <v>142</v>
      </c>
      <c r="AG51" s="39">
        <v>0</v>
      </c>
      <c r="AH51" s="38">
        <v>1</v>
      </c>
      <c r="AI51" s="39">
        <v>0</v>
      </c>
      <c r="AJ51" s="38">
        <v>1</v>
      </c>
      <c r="AK51" s="39">
        <v>0</v>
      </c>
      <c r="AL51" s="39">
        <v>0</v>
      </c>
      <c r="AM51" s="38">
        <v>2</v>
      </c>
      <c r="AN51" s="39">
        <v>0</v>
      </c>
      <c r="AO51" s="38">
        <v>2</v>
      </c>
      <c r="AP51" s="38">
        <v>2</v>
      </c>
    </row>
    <row r="52" spans="32:42" x14ac:dyDescent="0.25">
      <c r="AF52" s="1" t="s">
        <v>143</v>
      </c>
      <c r="AG52" s="39">
        <v>0</v>
      </c>
      <c r="AH52" s="38">
        <v>1</v>
      </c>
      <c r="AI52" s="39">
        <v>0</v>
      </c>
      <c r="AJ52" s="38">
        <v>1</v>
      </c>
      <c r="AK52" s="39">
        <v>0</v>
      </c>
      <c r="AL52" s="39">
        <v>0</v>
      </c>
      <c r="AM52" s="38">
        <v>2</v>
      </c>
      <c r="AN52" s="39">
        <v>0</v>
      </c>
      <c r="AO52" s="38">
        <v>2</v>
      </c>
      <c r="AP52" s="38">
        <v>2</v>
      </c>
    </row>
    <row r="53" spans="32:42" x14ac:dyDescent="0.25">
      <c r="AF53" s="1" t="s">
        <v>144</v>
      </c>
      <c r="AG53" s="39">
        <v>0</v>
      </c>
      <c r="AH53" s="38">
        <v>1</v>
      </c>
      <c r="AI53" s="39">
        <v>0</v>
      </c>
      <c r="AJ53" s="38">
        <v>1</v>
      </c>
      <c r="AK53" s="39">
        <v>0</v>
      </c>
      <c r="AL53" s="39">
        <v>0</v>
      </c>
      <c r="AM53" s="38">
        <v>2</v>
      </c>
      <c r="AN53" s="39">
        <v>0</v>
      </c>
      <c r="AO53" s="38">
        <v>2</v>
      </c>
      <c r="AP53" s="38">
        <v>2</v>
      </c>
    </row>
    <row r="54" spans="32:42" x14ac:dyDescent="0.25">
      <c r="AF54" s="1" t="s">
        <v>145</v>
      </c>
      <c r="AG54" s="39">
        <v>0</v>
      </c>
      <c r="AH54" s="38">
        <v>1</v>
      </c>
      <c r="AI54" s="39">
        <v>0</v>
      </c>
      <c r="AJ54" s="38">
        <v>2</v>
      </c>
      <c r="AK54" s="39">
        <v>0</v>
      </c>
      <c r="AL54" s="39">
        <v>0</v>
      </c>
      <c r="AM54" s="38">
        <v>2</v>
      </c>
      <c r="AN54" s="39">
        <v>0</v>
      </c>
      <c r="AO54" s="38">
        <v>2</v>
      </c>
      <c r="AP54" s="38">
        <v>2</v>
      </c>
    </row>
    <row r="55" spans="32:42" x14ac:dyDescent="0.25">
      <c r="AF55" s="1" t="s">
        <v>146</v>
      </c>
      <c r="AG55" s="39">
        <v>0</v>
      </c>
      <c r="AH55" s="38">
        <v>1</v>
      </c>
      <c r="AI55" s="39">
        <v>0</v>
      </c>
      <c r="AJ55" s="38">
        <v>1</v>
      </c>
      <c r="AK55" s="39">
        <v>0</v>
      </c>
      <c r="AL55" s="39">
        <v>0</v>
      </c>
      <c r="AM55" s="38">
        <v>2</v>
      </c>
      <c r="AN55" s="39">
        <v>0</v>
      </c>
      <c r="AO55" s="38">
        <v>2</v>
      </c>
      <c r="AP55" s="38">
        <v>2</v>
      </c>
    </row>
    <row r="56" spans="32:42" x14ac:dyDescent="0.25">
      <c r="AF56" s="1" t="s">
        <v>147</v>
      </c>
      <c r="AG56" s="39">
        <v>0</v>
      </c>
      <c r="AH56" s="38">
        <v>1</v>
      </c>
      <c r="AI56" s="39">
        <v>0</v>
      </c>
      <c r="AJ56" s="38">
        <v>1</v>
      </c>
      <c r="AK56" s="39">
        <v>0</v>
      </c>
      <c r="AL56" s="39">
        <v>0</v>
      </c>
      <c r="AM56" s="38">
        <v>2</v>
      </c>
      <c r="AN56" s="39">
        <v>0</v>
      </c>
      <c r="AO56" s="38">
        <v>2</v>
      </c>
      <c r="AP56" s="38">
        <v>2</v>
      </c>
    </row>
    <row r="57" spans="32:42" x14ac:dyDescent="0.25">
      <c r="AF57" s="1" t="s">
        <v>148</v>
      </c>
      <c r="AG57" s="39">
        <v>0</v>
      </c>
      <c r="AH57" s="38">
        <v>1</v>
      </c>
      <c r="AI57" s="39">
        <v>0</v>
      </c>
      <c r="AJ57" s="38">
        <v>1</v>
      </c>
      <c r="AK57" s="39">
        <v>0</v>
      </c>
      <c r="AL57" s="39">
        <v>0</v>
      </c>
      <c r="AM57" s="38">
        <v>2</v>
      </c>
      <c r="AN57" s="39">
        <v>0</v>
      </c>
      <c r="AO57" s="38">
        <v>2</v>
      </c>
      <c r="AP57" s="38">
        <v>2</v>
      </c>
    </row>
    <row r="58" spans="32:42" x14ac:dyDescent="0.25">
      <c r="AF58" s="1" t="s">
        <v>149</v>
      </c>
      <c r="AG58" s="39">
        <v>0</v>
      </c>
      <c r="AH58" s="38">
        <v>1</v>
      </c>
      <c r="AI58" s="39">
        <v>0</v>
      </c>
      <c r="AJ58" s="38">
        <v>1</v>
      </c>
      <c r="AK58" s="39">
        <v>0</v>
      </c>
      <c r="AL58" s="39">
        <v>0</v>
      </c>
      <c r="AM58" s="38">
        <v>2</v>
      </c>
      <c r="AN58" s="39">
        <v>0</v>
      </c>
      <c r="AO58" s="38">
        <v>2</v>
      </c>
      <c r="AP58" s="38">
        <v>2</v>
      </c>
    </row>
    <row r="59" spans="32:42" x14ac:dyDescent="0.25">
      <c r="AF59" s="1" t="s">
        <v>150</v>
      </c>
      <c r="AG59" s="39">
        <v>0</v>
      </c>
      <c r="AH59" s="38">
        <v>1</v>
      </c>
      <c r="AI59" s="39">
        <v>0</v>
      </c>
      <c r="AJ59" s="38">
        <v>1</v>
      </c>
      <c r="AK59" s="39">
        <v>0</v>
      </c>
      <c r="AL59" s="39">
        <v>0</v>
      </c>
      <c r="AM59" s="38">
        <v>2</v>
      </c>
      <c r="AN59" s="39">
        <v>0</v>
      </c>
      <c r="AO59" s="38">
        <v>2</v>
      </c>
      <c r="AP59" s="38">
        <v>2</v>
      </c>
    </row>
    <row r="60" spans="32:42" x14ac:dyDescent="0.25">
      <c r="AF60" s="1" t="s">
        <v>151</v>
      </c>
      <c r="AG60" s="39">
        <v>0</v>
      </c>
      <c r="AH60" s="38">
        <v>1</v>
      </c>
      <c r="AI60" s="39">
        <v>0</v>
      </c>
      <c r="AJ60" s="38">
        <v>1</v>
      </c>
      <c r="AK60" s="39">
        <v>0</v>
      </c>
      <c r="AL60" s="39">
        <v>0</v>
      </c>
      <c r="AM60" s="38">
        <v>2</v>
      </c>
      <c r="AN60" s="39">
        <v>0</v>
      </c>
      <c r="AO60" s="38">
        <v>2</v>
      </c>
      <c r="AP60" s="38">
        <v>2</v>
      </c>
    </row>
    <row r="61" spans="32:42" x14ac:dyDescent="0.25">
      <c r="AF61" s="1" t="s">
        <v>152</v>
      </c>
      <c r="AG61" s="39">
        <v>0</v>
      </c>
      <c r="AH61" s="38">
        <v>1</v>
      </c>
      <c r="AI61" s="39">
        <v>0</v>
      </c>
      <c r="AJ61" s="38">
        <v>1</v>
      </c>
      <c r="AK61" s="39">
        <v>0</v>
      </c>
      <c r="AL61" s="39">
        <v>0</v>
      </c>
      <c r="AM61" s="38">
        <v>2</v>
      </c>
      <c r="AN61" s="39">
        <v>0</v>
      </c>
      <c r="AO61" s="38">
        <v>2</v>
      </c>
      <c r="AP61" s="38">
        <v>2</v>
      </c>
    </row>
    <row r="62" spans="32:42" x14ac:dyDescent="0.25">
      <c r="AF62" s="1" t="s">
        <v>88</v>
      </c>
      <c r="AG62" s="39">
        <v>0</v>
      </c>
      <c r="AH62" s="38">
        <v>1</v>
      </c>
      <c r="AI62" s="39">
        <v>0</v>
      </c>
      <c r="AJ62" s="38">
        <v>1E-3</v>
      </c>
      <c r="AK62" s="39">
        <v>0</v>
      </c>
      <c r="AL62" s="39">
        <v>0</v>
      </c>
      <c r="AM62" s="38">
        <v>2</v>
      </c>
      <c r="AN62" s="39">
        <v>0</v>
      </c>
      <c r="AO62" s="38">
        <v>2</v>
      </c>
      <c r="AP62" s="38">
        <v>2</v>
      </c>
    </row>
    <row r="63" spans="32:42" x14ac:dyDescent="0.25">
      <c r="AF63" s="1" t="s">
        <v>153</v>
      </c>
      <c r="AG63" s="39">
        <v>0</v>
      </c>
      <c r="AH63" s="38">
        <v>1E-3</v>
      </c>
      <c r="AI63" s="38">
        <v>1</v>
      </c>
      <c r="AJ63" s="38">
        <v>1E-3</v>
      </c>
      <c r="AK63" s="39">
        <v>0</v>
      </c>
      <c r="AL63" s="39">
        <v>0</v>
      </c>
      <c r="AM63" s="38">
        <v>1E-3</v>
      </c>
      <c r="AN63" s="39">
        <v>0</v>
      </c>
      <c r="AO63" s="38">
        <v>1E-3</v>
      </c>
      <c r="AP63" s="38">
        <v>1E-3</v>
      </c>
    </row>
    <row r="64" spans="32:42" x14ac:dyDescent="0.25">
      <c r="AF64" s="1" t="s">
        <v>154</v>
      </c>
      <c r="AG64" s="39">
        <v>0</v>
      </c>
      <c r="AH64" s="38">
        <v>1E-3</v>
      </c>
      <c r="AI64" s="39">
        <v>0</v>
      </c>
      <c r="AJ64" s="38">
        <v>1E-3</v>
      </c>
      <c r="AK64" s="39">
        <v>0</v>
      </c>
      <c r="AL64" s="39">
        <v>0</v>
      </c>
      <c r="AM64" s="38">
        <v>0.33</v>
      </c>
      <c r="AN64" s="39">
        <v>0</v>
      </c>
      <c r="AO64" s="38">
        <v>0.33</v>
      </c>
      <c r="AP64" s="38">
        <v>0.33</v>
      </c>
    </row>
    <row r="65" spans="32:42" x14ac:dyDescent="0.25">
      <c r="AF65" s="1" t="s">
        <v>155</v>
      </c>
      <c r="AG65" s="39">
        <v>0</v>
      </c>
      <c r="AH65" s="38">
        <v>1E-3</v>
      </c>
      <c r="AI65" s="39">
        <v>0</v>
      </c>
      <c r="AJ65" s="38">
        <v>1E-3</v>
      </c>
      <c r="AK65" s="39">
        <v>0</v>
      </c>
      <c r="AL65" s="39">
        <v>0</v>
      </c>
      <c r="AM65" s="38">
        <v>1E-3</v>
      </c>
      <c r="AN65" s="39">
        <v>0</v>
      </c>
      <c r="AO65" s="38">
        <v>0.33</v>
      </c>
      <c r="AP65" s="38">
        <v>0.33</v>
      </c>
    </row>
    <row r="66" spans="32:42" x14ac:dyDescent="0.25">
      <c r="AF66" s="1" t="s">
        <v>156</v>
      </c>
      <c r="AG66" s="39">
        <v>0</v>
      </c>
      <c r="AH66" s="38">
        <v>1E-3</v>
      </c>
      <c r="AI66" s="39">
        <v>0</v>
      </c>
      <c r="AJ66" s="38">
        <v>1E-3</v>
      </c>
      <c r="AK66" s="39">
        <v>0</v>
      </c>
      <c r="AL66" s="39">
        <v>0</v>
      </c>
      <c r="AM66" s="38">
        <v>0.5</v>
      </c>
      <c r="AN66" s="39">
        <v>0</v>
      </c>
      <c r="AO66" s="38">
        <v>0.5</v>
      </c>
      <c r="AP66" s="38">
        <v>0.5</v>
      </c>
    </row>
    <row r="67" spans="32:42" x14ac:dyDescent="0.25">
      <c r="AF67" s="1" t="s">
        <v>157</v>
      </c>
      <c r="AG67" s="39">
        <v>0</v>
      </c>
      <c r="AH67" s="38">
        <v>1E-3</v>
      </c>
      <c r="AI67" s="39">
        <v>0</v>
      </c>
      <c r="AJ67" s="38">
        <v>1E-3</v>
      </c>
      <c r="AK67" s="39">
        <v>0</v>
      </c>
      <c r="AL67" s="39">
        <v>0</v>
      </c>
      <c r="AM67" s="38">
        <v>1E-3</v>
      </c>
      <c r="AN67" s="39">
        <v>0</v>
      </c>
      <c r="AO67" s="38">
        <v>0.5</v>
      </c>
      <c r="AP67" s="38">
        <v>0.5</v>
      </c>
    </row>
    <row r="68" spans="32:42" x14ac:dyDescent="0.25">
      <c r="AF68" s="1" t="s">
        <v>158</v>
      </c>
      <c r="AG68" s="39">
        <v>0</v>
      </c>
      <c r="AH68" s="38">
        <v>1E-3</v>
      </c>
      <c r="AI68" s="39">
        <v>0</v>
      </c>
      <c r="AJ68" s="38">
        <v>1E-3</v>
      </c>
      <c r="AK68" s="39">
        <v>0</v>
      </c>
      <c r="AL68" s="39">
        <v>0</v>
      </c>
      <c r="AM68" s="38">
        <v>1</v>
      </c>
      <c r="AN68" s="39">
        <v>0</v>
      </c>
      <c r="AO68" s="38">
        <v>2</v>
      </c>
      <c r="AP68" s="38">
        <v>2</v>
      </c>
    </row>
    <row r="69" spans="32:42" x14ac:dyDescent="0.25">
      <c r="AF69" s="1" t="s">
        <v>90</v>
      </c>
      <c r="AG69" s="39">
        <v>0</v>
      </c>
      <c r="AH69" s="38">
        <v>1E-3</v>
      </c>
      <c r="AI69" s="39">
        <v>0</v>
      </c>
      <c r="AJ69" s="38">
        <v>1</v>
      </c>
      <c r="AK69" s="39">
        <v>0</v>
      </c>
      <c r="AL69" s="39">
        <v>0</v>
      </c>
      <c r="AM69" s="38">
        <v>1</v>
      </c>
      <c r="AN69" s="39">
        <v>0</v>
      </c>
      <c r="AO69" s="38">
        <v>1</v>
      </c>
      <c r="AP69" s="38">
        <v>1</v>
      </c>
    </row>
    <row r="70" spans="32:42" x14ac:dyDescent="0.25">
      <c r="AF70" s="1" t="s">
        <v>159</v>
      </c>
      <c r="AG70" s="39">
        <v>0</v>
      </c>
      <c r="AH70" s="38">
        <v>1E-3</v>
      </c>
      <c r="AI70" s="39">
        <v>0</v>
      </c>
      <c r="AJ70" s="38">
        <v>1E-3</v>
      </c>
      <c r="AK70" s="39">
        <v>0</v>
      </c>
      <c r="AL70" s="39">
        <v>0</v>
      </c>
      <c r="AM70" s="38">
        <v>1</v>
      </c>
      <c r="AN70" s="39">
        <v>0</v>
      </c>
      <c r="AO70" s="38">
        <v>1</v>
      </c>
      <c r="AP70" s="38">
        <v>1</v>
      </c>
    </row>
    <row r="71" spans="32:42" x14ac:dyDescent="0.25">
      <c r="AF71" s="1" t="s">
        <v>160</v>
      </c>
      <c r="AG71" s="39">
        <v>0</v>
      </c>
      <c r="AH71" s="38">
        <v>1E-3</v>
      </c>
      <c r="AI71" s="39">
        <v>0</v>
      </c>
      <c r="AJ71" s="38">
        <v>1E-3</v>
      </c>
      <c r="AK71" s="38">
        <v>1</v>
      </c>
      <c r="AL71" s="39">
        <v>0</v>
      </c>
      <c r="AM71" s="38">
        <v>1E-3</v>
      </c>
      <c r="AN71" s="39">
        <v>0</v>
      </c>
      <c r="AO71" s="38">
        <v>1E-3</v>
      </c>
      <c r="AP71" s="38">
        <v>1E-3</v>
      </c>
    </row>
    <row r="72" spans="32:42" x14ac:dyDescent="0.25">
      <c r="AF72" s="1" t="s">
        <v>161</v>
      </c>
      <c r="AG72" s="39">
        <v>0</v>
      </c>
      <c r="AH72" s="38">
        <v>1E-3</v>
      </c>
      <c r="AI72" s="39">
        <v>0</v>
      </c>
      <c r="AJ72" s="38">
        <v>1E-3</v>
      </c>
      <c r="AK72" s="39">
        <v>0</v>
      </c>
      <c r="AL72" s="39">
        <v>0</v>
      </c>
      <c r="AM72" s="38">
        <v>1</v>
      </c>
      <c r="AN72" s="39">
        <v>0</v>
      </c>
      <c r="AO72" s="38">
        <v>1</v>
      </c>
      <c r="AP72" s="38">
        <v>1</v>
      </c>
    </row>
    <row r="73" spans="32:42" x14ac:dyDescent="0.25">
      <c r="AF73" s="1" t="s">
        <v>162</v>
      </c>
      <c r="AG73" s="39">
        <v>0</v>
      </c>
      <c r="AH73" s="38">
        <v>1E-3</v>
      </c>
      <c r="AI73" s="39">
        <v>0</v>
      </c>
      <c r="AJ73" s="38">
        <v>1E-3</v>
      </c>
      <c r="AK73" s="39">
        <v>0</v>
      </c>
      <c r="AL73" s="39">
        <v>0</v>
      </c>
      <c r="AM73" s="38">
        <v>1E-3</v>
      </c>
      <c r="AN73" s="39">
        <v>0</v>
      </c>
      <c r="AO73" s="38">
        <v>1</v>
      </c>
      <c r="AP73" s="38">
        <v>1</v>
      </c>
    </row>
    <row r="74" spans="32:42" x14ac:dyDescent="0.25">
      <c r="AF74" s="39" t="s">
        <v>163</v>
      </c>
      <c r="AG74" s="39">
        <v>0</v>
      </c>
      <c r="AH74" s="38">
        <v>20</v>
      </c>
      <c r="AI74" s="39">
        <v>0</v>
      </c>
      <c r="AJ74" s="39">
        <v>0</v>
      </c>
      <c r="AK74" s="39">
        <v>0</v>
      </c>
      <c r="AL74" s="39">
        <v>0</v>
      </c>
      <c r="AM74" s="39">
        <v>0</v>
      </c>
      <c r="AN74" s="39">
        <v>0</v>
      </c>
      <c r="AO74" s="39">
        <v>0</v>
      </c>
      <c r="AP74" s="39">
        <v>0</v>
      </c>
    </row>
    <row r="75" spans="32:42" x14ac:dyDescent="0.25">
      <c r="AF75" s="39" t="s">
        <v>164</v>
      </c>
      <c r="AG75" s="39">
        <v>0</v>
      </c>
      <c r="AH75" s="38">
        <v>10</v>
      </c>
      <c r="AI75" s="39">
        <v>0</v>
      </c>
      <c r="AJ75" s="39">
        <v>0</v>
      </c>
      <c r="AK75" s="39">
        <v>0</v>
      </c>
      <c r="AL75" s="39">
        <v>0</v>
      </c>
      <c r="AM75" s="39">
        <v>0</v>
      </c>
      <c r="AN75" s="39">
        <v>0</v>
      </c>
      <c r="AO75" s="39">
        <v>0</v>
      </c>
      <c r="AP75" s="39">
        <v>0</v>
      </c>
    </row>
    <row r="76" spans="32:42" x14ac:dyDescent="0.25">
      <c r="AF76" s="39" t="s">
        <v>165</v>
      </c>
      <c r="AG76" s="39">
        <v>0</v>
      </c>
      <c r="AH76" s="38">
        <v>6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32:42" x14ac:dyDescent="0.25">
      <c r="AF77" s="39" t="s">
        <v>166</v>
      </c>
      <c r="AG77" s="39">
        <v>0</v>
      </c>
      <c r="AH77" s="38">
        <v>4</v>
      </c>
      <c r="AI77" s="39">
        <v>0</v>
      </c>
      <c r="AJ77" s="39">
        <v>0</v>
      </c>
      <c r="AK77" s="39">
        <v>0</v>
      </c>
      <c r="AL77" s="39">
        <v>0</v>
      </c>
      <c r="AM77" s="39">
        <v>0</v>
      </c>
      <c r="AN77" s="39">
        <v>0</v>
      </c>
      <c r="AO77" s="39">
        <v>0</v>
      </c>
      <c r="AP77" s="39">
        <v>0</v>
      </c>
    </row>
  </sheetData>
  <protectedRanges>
    <protectedRange password="EEDA" sqref="Q1:S4" name="Multiup Calculator" securityDescriptor="O:WDG:WDD:(A;;CC;;;S-1-5-21-1529051984-3950248444-2322824711-1122)(A;;CC;;;S-1-5-21-1529051984-3950248444-2322824711-1129)(A;;CC;;;S-1-5-21-1529051984-3950248444-2322824711-1128)(A;;CC;;;S-1-5-21-1529051984-3950248444-2322824711-1127)"/>
    <protectedRange password="EEDA" sqref="AF2:AF73" name="Range6"/>
    <protectedRange password="EEDA" sqref="AF74:AF77" name="Range6_1"/>
  </protectedRanges>
  <pageMargins left="0.7" right="0.7" top="0.75" bottom="0.75" header="0.3" footer="0.3"/>
  <pageSetup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'L:\FiveMaplesSales\PRICES\Pricing working files\[Prices 2.0 June 2018 working copy.xlsm]Print Times'!#REF!</xm:f>
          </x14:formula1>
          <xm:sqref>AD2</xm:sqref>
        </x14:dataValidation>
        <x14:dataValidation type="list" allowBlank="1" showInputMessage="1" showErrorMessage="1">
          <x14:formula1>
            <xm:f>'L:\FiveMaplesSales\PRICES\Pricing working files\[Prices 2.0 June 2018 working copy.xlsm]Print Times'!#REF!</xm:f>
          </x14:formula1>
          <xm:sqref>AD3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"/>
  <sheetViews>
    <sheetView zoomScale="85" zoomScaleNormal="85" workbookViewId="0">
      <selection activeCell="F14" sqref="F14"/>
    </sheetView>
  </sheetViews>
  <sheetFormatPr defaultRowHeight="15" x14ac:dyDescent="0.25"/>
  <cols>
    <col min="1" max="1" width="12.140625" style="44" customWidth="1"/>
    <col min="2" max="4" width="11.5703125" style="44" customWidth="1"/>
    <col min="5" max="5" width="35.7109375" style="47" customWidth="1"/>
    <col min="6" max="6" width="16.28515625" style="44" customWidth="1"/>
    <col min="7" max="7" width="13.140625" style="44" customWidth="1"/>
    <col min="8" max="8" width="18.28515625" style="44" customWidth="1"/>
    <col min="9" max="9" width="12.140625" style="44" customWidth="1"/>
    <col min="10" max="10" width="18.28515625" style="44" customWidth="1"/>
    <col min="11" max="11" width="17.140625" style="44" customWidth="1"/>
    <col min="12" max="12" width="14.42578125" style="44" customWidth="1"/>
    <col min="13" max="13" width="17.140625" style="44" customWidth="1"/>
    <col min="14" max="15" width="12.5703125" style="44" customWidth="1"/>
    <col min="16" max="16384" width="9.140625" style="44"/>
  </cols>
  <sheetData>
    <row r="1" spans="1:15" x14ac:dyDescent="0.25">
      <c r="A1" s="434" t="s">
        <v>168</v>
      </c>
      <c r="B1" s="434"/>
      <c r="C1" s="434"/>
      <c r="D1" s="434"/>
      <c r="E1" s="38" t="s">
        <v>169</v>
      </c>
      <c r="F1" s="433" t="s">
        <v>88</v>
      </c>
      <c r="G1" s="433"/>
      <c r="H1" s="41" t="s">
        <v>89</v>
      </c>
      <c r="I1" s="41" t="s">
        <v>90</v>
      </c>
      <c r="J1" s="41" t="s">
        <v>91</v>
      </c>
      <c r="K1" s="433" t="s">
        <v>170</v>
      </c>
      <c r="L1" s="433"/>
      <c r="M1" s="433" t="s">
        <v>95</v>
      </c>
      <c r="N1" s="433"/>
      <c r="O1" s="41" t="s">
        <v>96</v>
      </c>
    </row>
    <row r="2" spans="1:15" x14ac:dyDescent="0.25">
      <c r="A2" s="142" t="s">
        <v>171</v>
      </c>
      <c r="B2" s="142" t="s">
        <v>93</v>
      </c>
      <c r="C2" s="142" t="s">
        <v>95</v>
      </c>
      <c r="D2" s="142" t="s">
        <v>96</v>
      </c>
      <c r="E2" s="143" t="s">
        <v>169</v>
      </c>
      <c r="F2" s="142" t="s">
        <v>87</v>
      </c>
      <c r="G2" s="142" t="s">
        <v>88</v>
      </c>
      <c r="H2" s="144" t="s">
        <v>89</v>
      </c>
      <c r="I2" s="145" t="s">
        <v>172</v>
      </c>
      <c r="J2" s="144" t="s">
        <v>91</v>
      </c>
      <c r="K2" s="144" t="s">
        <v>92</v>
      </c>
      <c r="L2" s="144" t="s">
        <v>170</v>
      </c>
      <c r="M2" s="144" t="s">
        <v>94</v>
      </c>
      <c r="N2" s="142" t="s">
        <v>209</v>
      </c>
      <c r="O2" s="142" t="s">
        <v>210</v>
      </c>
    </row>
    <row r="3" spans="1:15" x14ac:dyDescent="0.25">
      <c r="A3" s="42"/>
      <c r="B3" s="42"/>
      <c r="C3" s="42"/>
      <c r="D3" s="42"/>
      <c r="E3" s="42" t="s">
        <v>173</v>
      </c>
      <c r="F3" s="52">
        <v>0</v>
      </c>
      <c r="G3" s="52">
        <v>6.36</v>
      </c>
      <c r="H3" s="52">
        <v>0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0</v>
      </c>
    </row>
    <row r="4" spans="1:15" x14ac:dyDescent="0.25">
      <c r="A4" s="42" t="s">
        <v>174</v>
      </c>
      <c r="B4" s="42" t="s">
        <v>174</v>
      </c>
      <c r="C4" s="42"/>
      <c r="D4" s="42"/>
      <c r="E4" s="42" t="s">
        <v>175</v>
      </c>
      <c r="F4" s="52">
        <v>0</v>
      </c>
      <c r="G4" s="52">
        <v>13.15</v>
      </c>
      <c r="H4" s="52">
        <v>0</v>
      </c>
      <c r="I4" s="52">
        <v>0</v>
      </c>
      <c r="J4" s="52">
        <v>0</v>
      </c>
      <c r="K4" s="52">
        <v>0</v>
      </c>
      <c r="L4" s="52">
        <v>27.5</v>
      </c>
      <c r="M4" s="52">
        <v>0</v>
      </c>
      <c r="N4" s="52">
        <v>0</v>
      </c>
      <c r="O4" s="52">
        <v>0</v>
      </c>
    </row>
    <row r="5" spans="1:15" x14ac:dyDescent="0.25">
      <c r="A5" s="42" t="s">
        <v>174</v>
      </c>
      <c r="B5" s="45"/>
      <c r="C5" s="45"/>
      <c r="D5" s="45"/>
      <c r="E5" s="42" t="s">
        <v>176</v>
      </c>
      <c r="F5" s="52">
        <v>0</v>
      </c>
      <c r="G5" s="52">
        <v>0</v>
      </c>
      <c r="H5" s="52">
        <v>16.41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0</v>
      </c>
    </row>
    <row r="6" spans="1:15" x14ac:dyDescent="0.25">
      <c r="A6" s="42"/>
      <c r="B6" s="42"/>
      <c r="C6" s="42"/>
      <c r="D6" s="42"/>
      <c r="E6" s="42" t="s">
        <v>177</v>
      </c>
      <c r="F6" s="52">
        <v>0</v>
      </c>
      <c r="G6" s="52">
        <v>0</v>
      </c>
      <c r="H6" s="52">
        <v>0</v>
      </c>
      <c r="I6" s="52">
        <v>24.5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0</v>
      </c>
    </row>
    <row r="7" spans="1:15" x14ac:dyDescent="0.25">
      <c r="A7" s="42"/>
      <c r="B7" s="45"/>
      <c r="C7" s="45"/>
      <c r="D7" s="45"/>
      <c r="E7" s="42" t="s">
        <v>178</v>
      </c>
      <c r="F7" s="52">
        <v>0</v>
      </c>
      <c r="G7" s="52">
        <v>0</v>
      </c>
      <c r="H7" s="52">
        <v>0</v>
      </c>
      <c r="I7" s="52">
        <v>0</v>
      </c>
      <c r="J7" s="52">
        <v>23.05</v>
      </c>
      <c r="K7" s="52">
        <v>0</v>
      </c>
      <c r="L7" s="52">
        <v>0</v>
      </c>
      <c r="M7" s="52">
        <v>0</v>
      </c>
      <c r="N7" s="52">
        <v>0</v>
      </c>
      <c r="O7" s="52">
        <v>0</v>
      </c>
    </row>
    <row r="8" spans="1:15" x14ac:dyDescent="0.25">
      <c r="A8" s="42" t="s">
        <v>174</v>
      </c>
      <c r="B8" s="42" t="s">
        <v>174</v>
      </c>
      <c r="C8" s="42"/>
      <c r="D8" s="42"/>
      <c r="E8" s="42" t="s">
        <v>179</v>
      </c>
      <c r="F8" s="52">
        <v>0</v>
      </c>
      <c r="G8" s="52">
        <v>0</v>
      </c>
      <c r="H8" s="52">
        <v>0</v>
      </c>
      <c r="I8" s="52">
        <v>0</v>
      </c>
      <c r="J8" s="52">
        <v>0</v>
      </c>
      <c r="K8" s="52">
        <v>0</v>
      </c>
      <c r="L8" s="52">
        <v>30.9</v>
      </c>
      <c r="M8" s="52">
        <v>0</v>
      </c>
      <c r="N8" s="52">
        <v>0</v>
      </c>
      <c r="O8" s="52">
        <v>0</v>
      </c>
    </row>
    <row r="9" spans="1:15" x14ac:dyDescent="0.25">
      <c r="A9" s="42" t="s">
        <v>174</v>
      </c>
      <c r="B9" s="42" t="s">
        <v>174</v>
      </c>
      <c r="C9" s="42"/>
      <c r="D9" s="42"/>
      <c r="E9" s="42" t="s">
        <v>180</v>
      </c>
      <c r="F9" s="52">
        <v>0</v>
      </c>
      <c r="G9" s="52">
        <v>0</v>
      </c>
      <c r="H9" s="52">
        <v>0</v>
      </c>
      <c r="I9" s="52">
        <v>0</v>
      </c>
      <c r="J9" s="52">
        <v>0</v>
      </c>
      <c r="K9" s="52">
        <v>0</v>
      </c>
      <c r="L9" s="52">
        <v>35.549999999999997</v>
      </c>
      <c r="M9" s="52">
        <v>0</v>
      </c>
      <c r="N9" s="52">
        <v>0</v>
      </c>
      <c r="O9" s="52">
        <v>0</v>
      </c>
    </row>
    <row r="10" spans="1:15" x14ac:dyDescent="0.25">
      <c r="A10" s="42"/>
      <c r="B10" s="42" t="s">
        <v>174</v>
      </c>
      <c r="C10" s="42" t="s">
        <v>174</v>
      </c>
      <c r="D10" s="42"/>
      <c r="E10" s="42" t="s">
        <v>181</v>
      </c>
      <c r="F10" s="52">
        <v>0</v>
      </c>
      <c r="G10" s="52">
        <v>0</v>
      </c>
      <c r="H10" s="52">
        <v>0</v>
      </c>
      <c r="I10" s="52">
        <v>0</v>
      </c>
      <c r="J10" s="52">
        <v>0</v>
      </c>
      <c r="K10" s="52">
        <v>0</v>
      </c>
      <c r="L10" s="52">
        <v>29.03</v>
      </c>
      <c r="M10" s="52">
        <v>0</v>
      </c>
      <c r="N10" s="52">
        <v>33.54</v>
      </c>
      <c r="O10" s="52">
        <v>40.090000000000003</v>
      </c>
    </row>
    <row r="11" spans="1:15" x14ac:dyDescent="0.25">
      <c r="A11" s="42" t="s">
        <v>174</v>
      </c>
      <c r="B11" s="42" t="s">
        <v>174</v>
      </c>
      <c r="C11" s="42" t="s">
        <v>174</v>
      </c>
      <c r="D11" s="42"/>
      <c r="E11" s="42" t="s">
        <v>182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52">
        <v>0</v>
      </c>
      <c r="L11" s="52">
        <v>31.55</v>
      </c>
      <c r="M11" s="52">
        <v>0</v>
      </c>
      <c r="N11" s="52">
        <v>36.39</v>
      </c>
      <c r="O11" s="52">
        <v>0</v>
      </c>
    </row>
    <row r="12" spans="1:15" x14ac:dyDescent="0.25">
      <c r="A12" s="42"/>
      <c r="B12" s="42"/>
      <c r="C12" s="42" t="s">
        <v>174</v>
      </c>
      <c r="D12" s="42" t="s">
        <v>174</v>
      </c>
      <c r="E12" s="42" t="s">
        <v>183</v>
      </c>
      <c r="F12" s="52">
        <v>0</v>
      </c>
      <c r="G12" s="52">
        <v>0</v>
      </c>
      <c r="H12" s="52">
        <v>0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43.6</v>
      </c>
      <c r="O12" s="52">
        <v>49.85</v>
      </c>
    </row>
    <row r="13" spans="1:15" x14ac:dyDescent="0.25">
      <c r="A13" s="42"/>
      <c r="B13" s="42" t="s">
        <v>174</v>
      </c>
      <c r="C13" s="42" t="s">
        <v>174</v>
      </c>
      <c r="D13" s="42"/>
      <c r="E13" s="42" t="s">
        <v>184</v>
      </c>
      <c r="F13" s="52">
        <v>0</v>
      </c>
      <c r="G13" s="52">
        <v>0</v>
      </c>
      <c r="H13" s="52">
        <v>0</v>
      </c>
      <c r="I13" s="52">
        <v>0</v>
      </c>
      <c r="J13" s="52">
        <v>0</v>
      </c>
      <c r="K13" s="52">
        <v>0</v>
      </c>
      <c r="L13" s="52">
        <v>42.93</v>
      </c>
      <c r="M13" s="52">
        <v>0</v>
      </c>
      <c r="N13" s="52">
        <v>42.15</v>
      </c>
      <c r="O13" s="52">
        <v>0</v>
      </c>
    </row>
    <row r="14" spans="1:15" x14ac:dyDescent="0.25">
      <c r="A14" s="42"/>
      <c r="B14" s="42" t="s">
        <v>174</v>
      </c>
      <c r="C14" s="42" t="s">
        <v>174</v>
      </c>
      <c r="D14" s="42"/>
      <c r="E14" s="42" t="s">
        <v>185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40.03</v>
      </c>
      <c r="M14" s="52">
        <v>0</v>
      </c>
      <c r="N14" s="52">
        <v>46.31</v>
      </c>
      <c r="O14" s="52">
        <v>0</v>
      </c>
    </row>
    <row r="15" spans="1:15" x14ac:dyDescent="0.25">
      <c r="A15" s="42"/>
      <c r="B15" s="42" t="s">
        <v>174</v>
      </c>
      <c r="C15" s="42"/>
      <c r="D15" s="42"/>
      <c r="E15" s="42" t="s">
        <v>186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3">
        <v>31.41</v>
      </c>
      <c r="M15" s="52">
        <v>0</v>
      </c>
      <c r="N15" s="53">
        <v>36.270000000000003</v>
      </c>
      <c r="O15" s="52">
        <v>0</v>
      </c>
    </row>
    <row r="16" spans="1:15" x14ac:dyDescent="0.25">
      <c r="A16" s="42"/>
      <c r="B16" s="42"/>
      <c r="C16" s="42"/>
      <c r="D16" s="42"/>
      <c r="E16" s="42" t="s">
        <v>187</v>
      </c>
      <c r="F16" s="52">
        <v>0</v>
      </c>
      <c r="G16" s="52">
        <v>0</v>
      </c>
      <c r="H16" s="52">
        <v>0</v>
      </c>
      <c r="I16" s="52">
        <v>0</v>
      </c>
      <c r="J16" s="52">
        <v>0</v>
      </c>
      <c r="K16" s="52">
        <v>0</v>
      </c>
      <c r="L16" s="53">
        <v>77.13</v>
      </c>
      <c r="M16" s="52">
        <v>0</v>
      </c>
      <c r="N16" s="52">
        <v>0</v>
      </c>
      <c r="O16" s="52">
        <v>0</v>
      </c>
    </row>
    <row r="17" spans="1:15" x14ac:dyDescent="0.25">
      <c r="A17" s="42"/>
      <c r="B17" s="42"/>
      <c r="C17" s="42"/>
      <c r="D17" s="42"/>
      <c r="E17" s="42" t="s">
        <v>188</v>
      </c>
      <c r="F17" s="52">
        <v>0</v>
      </c>
      <c r="G17" s="52">
        <v>39.5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</row>
    <row r="18" spans="1:15" x14ac:dyDescent="0.25">
      <c r="A18" s="42"/>
      <c r="B18" s="42"/>
      <c r="C18" s="42"/>
      <c r="D18" s="42"/>
      <c r="E18" s="42" t="s">
        <v>189</v>
      </c>
      <c r="F18" s="52">
        <v>0</v>
      </c>
      <c r="G18" s="52">
        <v>0</v>
      </c>
      <c r="H18" s="52">
        <v>0</v>
      </c>
      <c r="I18" s="52">
        <v>0</v>
      </c>
      <c r="J18" s="52">
        <v>0</v>
      </c>
      <c r="K18" s="52">
        <v>0</v>
      </c>
      <c r="L18" s="52">
        <v>0</v>
      </c>
      <c r="M18" s="52">
        <v>0</v>
      </c>
      <c r="N18" s="53">
        <v>87.77</v>
      </c>
      <c r="O18" s="52">
        <v>0</v>
      </c>
    </row>
    <row r="19" spans="1:15" x14ac:dyDescent="0.25">
      <c r="A19" s="42"/>
      <c r="B19" s="42" t="s">
        <v>190</v>
      </c>
      <c r="C19" s="42"/>
      <c r="D19" s="42"/>
      <c r="E19" s="42" t="s">
        <v>191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46.84</v>
      </c>
      <c r="M19" s="52">
        <v>0</v>
      </c>
      <c r="N19" s="52">
        <v>62.1</v>
      </c>
      <c r="O19" s="52">
        <v>0</v>
      </c>
    </row>
    <row r="20" spans="1:15" x14ac:dyDescent="0.25">
      <c r="A20" s="42"/>
      <c r="B20" s="42"/>
      <c r="C20" s="42" t="s">
        <v>174</v>
      </c>
      <c r="D20" s="42"/>
      <c r="E20" s="42" t="s">
        <v>192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32.29</v>
      </c>
      <c r="M20" s="52">
        <v>0</v>
      </c>
      <c r="N20" s="52">
        <v>41.01</v>
      </c>
      <c r="O20" s="52">
        <v>47.85</v>
      </c>
    </row>
    <row r="21" spans="1:15" x14ac:dyDescent="0.25">
      <c r="A21" s="42"/>
      <c r="B21" s="42"/>
      <c r="C21" s="42" t="s">
        <v>174</v>
      </c>
      <c r="D21" s="42"/>
      <c r="E21" s="42" t="s">
        <v>193</v>
      </c>
      <c r="F21" s="52">
        <v>0</v>
      </c>
      <c r="G21" s="52">
        <v>0</v>
      </c>
      <c r="H21" s="52">
        <v>0</v>
      </c>
      <c r="I21" s="52">
        <v>0</v>
      </c>
      <c r="J21" s="52">
        <v>0</v>
      </c>
      <c r="K21" s="52">
        <v>0</v>
      </c>
      <c r="L21" s="52">
        <v>0</v>
      </c>
      <c r="M21" s="52">
        <v>0</v>
      </c>
      <c r="N21" s="52">
        <v>51.26</v>
      </c>
      <c r="O21" s="52">
        <v>0</v>
      </c>
    </row>
    <row r="22" spans="1:15" x14ac:dyDescent="0.25">
      <c r="A22" s="42"/>
      <c r="B22" s="42"/>
      <c r="C22" s="42"/>
      <c r="D22" s="42"/>
      <c r="E22" s="42" t="s">
        <v>194</v>
      </c>
      <c r="F22" s="52">
        <v>0</v>
      </c>
      <c r="G22" s="52">
        <v>0</v>
      </c>
      <c r="H22" s="52">
        <v>0</v>
      </c>
      <c r="I22" s="52">
        <v>0</v>
      </c>
      <c r="J22" s="52">
        <v>0</v>
      </c>
      <c r="K22" s="52">
        <v>0</v>
      </c>
      <c r="L22" s="52">
        <v>0</v>
      </c>
      <c r="M22" s="52">
        <v>0</v>
      </c>
      <c r="N22" s="52">
        <v>50.4</v>
      </c>
      <c r="O22" s="52">
        <v>0</v>
      </c>
    </row>
    <row r="23" spans="1:15" x14ac:dyDescent="0.25">
      <c r="A23" s="42"/>
      <c r="B23" s="42"/>
      <c r="C23" s="42"/>
      <c r="D23" s="42"/>
      <c r="E23" s="42" t="s">
        <v>195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M23" s="52">
        <v>0</v>
      </c>
      <c r="N23" s="52">
        <v>63.64</v>
      </c>
      <c r="O23" s="52">
        <v>0</v>
      </c>
    </row>
    <row r="24" spans="1:15" x14ac:dyDescent="0.25">
      <c r="A24" s="42"/>
      <c r="B24" s="42" t="s">
        <v>174</v>
      </c>
      <c r="C24" s="42"/>
      <c r="D24" s="42"/>
      <c r="E24" s="42" t="s">
        <v>196</v>
      </c>
      <c r="F24" s="52">
        <v>0</v>
      </c>
      <c r="G24" s="52">
        <v>0</v>
      </c>
      <c r="H24" s="52">
        <v>0</v>
      </c>
      <c r="I24" s="52">
        <v>0</v>
      </c>
      <c r="J24" s="52">
        <v>0</v>
      </c>
      <c r="K24" s="52">
        <v>0</v>
      </c>
      <c r="L24" s="52">
        <v>47.25</v>
      </c>
      <c r="M24" s="52">
        <v>0</v>
      </c>
      <c r="N24" s="52">
        <v>0</v>
      </c>
      <c r="O24" s="52">
        <v>0</v>
      </c>
    </row>
    <row r="25" spans="1:15" x14ac:dyDescent="0.25">
      <c r="A25" s="42" t="s">
        <v>174</v>
      </c>
      <c r="B25" s="42" t="s">
        <v>174</v>
      </c>
      <c r="C25" s="42"/>
      <c r="D25" s="42"/>
      <c r="E25" s="42" t="s">
        <v>197</v>
      </c>
      <c r="F25" s="52">
        <v>0</v>
      </c>
      <c r="G25" s="52">
        <v>0</v>
      </c>
      <c r="H25" s="52">
        <v>0</v>
      </c>
      <c r="I25" s="52">
        <v>0</v>
      </c>
      <c r="J25" s="52">
        <v>0</v>
      </c>
      <c r="K25" s="52">
        <v>0</v>
      </c>
      <c r="L25" s="52">
        <v>51.75</v>
      </c>
      <c r="M25" s="52">
        <v>0</v>
      </c>
      <c r="N25" s="52">
        <v>0</v>
      </c>
      <c r="O25" s="52">
        <v>0</v>
      </c>
    </row>
    <row r="26" spans="1:15" x14ac:dyDescent="0.25">
      <c r="A26" s="42"/>
      <c r="B26" s="42" t="s">
        <v>174</v>
      </c>
      <c r="C26" s="42" t="s">
        <v>174</v>
      </c>
      <c r="D26" s="42"/>
      <c r="E26" s="42" t="s">
        <v>68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52">
        <v>65.5</v>
      </c>
      <c r="M26" s="52">
        <v>0</v>
      </c>
      <c r="N26" s="52">
        <v>76.5</v>
      </c>
      <c r="O26" s="52">
        <v>0</v>
      </c>
    </row>
    <row r="27" spans="1:15" x14ac:dyDescent="0.25">
      <c r="A27" s="42"/>
      <c r="B27" s="42"/>
      <c r="C27" s="42"/>
      <c r="D27" s="42"/>
      <c r="E27" s="42" t="s">
        <v>198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72.599999999999994</v>
      </c>
      <c r="M27" s="52">
        <v>0</v>
      </c>
      <c r="N27" s="52">
        <v>0</v>
      </c>
      <c r="O27" s="52">
        <v>91.85</v>
      </c>
    </row>
    <row r="28" spans="1:15" x14ac:dyDescent="0.25">
      <c r="A28" s="42"/>
      <c r="B28" s="42"/>
      <c r="C28" s="42" t="s">
        <v>174</v>
      </c>
      <c r="D28" s="42"/>
      <c r="E28" s="42" t="s">
        <v>199</v>
      </c>
      <c r="F28" s="52">
        <v>0</v>
      </c>
      <c r="G28" s="52">
        <v>0</v>
      </c>
      <c r="H28" s="52">
        <v>0</v>
      </c>
      <c r="I28" s="52">
        <v>0</v>
      </c>
      <c r="J28" s="52">
        <v>0</v>
      </c>
      <c r="K28" s="52">
        <v>0</v>
      </c>
      <c r="L28" s="52">
        <v>0</v>
      </c>
      <c r="M28" s="52">
        <v>0</v>
      </c>
      <c r="N28" s="52">
        <v>60.08</v>
      </c>
      <c r="O28" s="52">
        <v>0</v>
      </c>
    </row>
    <row r="29" spans="1:15" x14ac:dyDescent="0.25">
      <c r="A29" s="42"/>
      <c r="B29" s="42"/>
      <c r="C29" s="42"/>
      <c r="D29" s="42"/>
      <c r="E29" s="42" t="s">
        <v>200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0</v>
      </c>
      <c r="N29" s="52">
        <v>195.25</v>
      </c>
      <c r="O29" s="52">
        <v>0</v>
      </c>
    </row>
    <row r="30" spans="1:15" x14ac:dyDescent="0.25">
      <c r="A30" s="42"/>
      <c r="B30" s="42"/>
      <c r="C30" s="42" t="s">
        <v>174</v>
      </c>
      <c r="D30" s="42" t="s">
        <v>174</v>
      </c>
      <c r="E30" s="42" t="s">
        <v>495</v>
      </c>
      <c r="F30" s="52">
        <v>0</v>
      </c>
      <c r="G30" s="52">
        <v>0</v>
      </c>
      <c r="H30" s="52">
        <v>0</v>
      </c>
      <c r="I30" s="52">
        <v>0</v>
      </c>
      <c r="J30" s="52">
        <v>0</v>
      </c>
      <c r="K30" s="52">
        <v>0</v>
      </c>
      <c r="L30" s="52">
        <v>0</v>
      </c>
      <c r="M30" s="52">
        <v>0</v>
      </c>
      <c r="N30" s="52">
        <v>66.63</v>
      </c>
      <c r="O30" s="52">
        <v>81.16</v>
      </c>
    </row>
    <row r="31" spans="1:15" x14ac:dyDescent="0.25">
      <c r="A31" s="42"/>
      <c r="B31" s="42"/>
      <c r="C31" s="42" t="s">
        <v>174</v>
      </c>
      <c r="D31" s="42" t="s">
        <v>174</v>
      </c>
      <c r="E31" s="42" t="s">
        <v>201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88.64</v>
      </c>
      <c r="O31" s="52">
        <v>101.45</v>
      </c>
    </row>
    <row r="32" spans="1:15" x14ac:dyDescent="0.25">
      <c r="A32" s="42"/>
      <c r="B32" s="42"/>
      <c r="C32" s="42" t="s">
        <v>174</v>
      </c>
      <c r="D32" s="42" t="s">
        <v>174</v>
      </c>
      <c r="E32" s="42" t="s">
        <v>202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116.8</v>
      </c>
      <c r="O32" s="52">
        <v>133.15</v>
      </c>
    </row>
    <row r="33" spans="1:15" x14ac:dyDescent="0.25">
      <c r="A33" s="42"/>
      <c r="B33" s="42"/>
      <c r="C33" s="42" t="s">
        <v>174</v>
      </c>
      <c r="D33" s="42" t="s">
        <v>174</v>
      </c>
      <c r="E33" s="42" t="s">
        <v>203</v>
      </c>
      <c r="F33" s="52">
        <v>0</v>
      </c>
      <c r="G33" s="52">
        <v>0</v>
      </c>
      <c r="H33" s="52">
        <v>0</v>
      </c>
      <c r="I33" s="52">
        <v>0</v>
      </c>
      <c r="J33" s="52">
        <v>0</v>
      </c>
      <c r="K33" s="52">
        <v>0</v>
      </c>
      <c r="L33" s="52">
        <v>67.75</v>
      </c>
      <c r="M33" s="52">
        <v>0</v>
      </c>
      <c r="N33" s="52">
        <v>77.09</v>
      </c>
      <c r="O33" s="53">
        <v>88.77</v>
      </c>
    </row>
    <row r="34" spans="1:15" x14ac:dyDescent="0.25">
      <c r="A34" s="42"/>
      <c r="B34" s="42"/>
      <c r="C34" s="42" t="s">
        <v>174</v>
      </c>
      <c r="D34" s="42" t="s">
        <v>174</v>
      </c>
      <c r="E34" s="42" t="s">
        <v>204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84.1</v>
      </c>
      <c r="M34" s="52">
        <v>0</v>
      </c>
      <c r="N34" s="52">
        <v>88.64</v>
      </c>
      <c r="O34" s="53">
        <v>101.45</v>
      </c>
    </row>
    <row r="35" spans="1:15" x14ac:dyDescent="0.25">
      <c r="A35" s="42"/>
      <c r="B35" s="42"/>
      <c r="C35" s="42" t="s">
        <v>174</v>
      </c>
      <c r="D35" s="42" t="s">
        <v>174</v>
      </c>
      <c r="E35" s="42" t="s">
        <v>69</v>
      </c>
      <c r="F35" s="52">
        <v>0</v>
      </c>
      <c r="G35" s="52">
        <v>0</v>
      </c>
      <c r="H35" s="52">
        <v>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116.8</v>
      </c>
      <c r="O35" s="53">
        <v>121.74</v>
      </c>
    </row>
    <row r="36" spans="1:15" x14ac:dyDescent="0.25">
      <c r="A36" s="42"/>
      <c r="B36" s="42"/>
      <c r="C36" s="42"/>
      <c r="D36" s="42" t="s">
        <v>174</v>
      </c>
      <c r="E36" s="42" t="s">
        <v>205</v>
      </c>
      <c r="F36" s="52">
        <v>0</v>
      </c>
      <c r="G36" s="52">
        <v>0</v>
      </c>
      <c r="H36" s="52">
        <v>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58.75</v>
      </c>
      <c r="O36" s="53">
        <v>66.599999999999994</v>
      </c>
    </row>
    <row r="37" spans="1:15" x14ac:dyDescent="0.25">
      <c r="A37" s="42"/>
      <c r="B37" s="42"/>
      <c r="C37" s="42" t="s">
        <v>174</v>
      </c>
      <c r="D37" s="42" t="s">
        <v>174</v>
      </c>
      <c r="E37" s="42" t="s">
        <v>206</v>
      </c>
      <c r="F37" s="52">
        <v>0</v>
      </c>
      <c r="G37" s="52">
        <v>0</v>
      </c>
      <c r="H37" s="52">
        <v>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80.77</v>
      </c>
      <c r="O37" s="52">
        <v>102.3</v>
      </c>
    </row>
    <row r="38" spans="1:15" x14ac:dyDescent="0.25">
      <c r="A38" s="42"/>
      <c r="B38" s="42"/>
      <c r="C38" s="42" t="s">
        <v>174</v>
      </c>
      <c r="D38" s="42" t="s">
        <v>174</v>
      </c>
      <c r="E38" s="42" t="s">
        <v>207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3">
        <v>100.66</v>
      </c>
      <c r="O38" s="53">
        <v>115.08</v>
      </c>
    </row>
    <row r="39" spans="1:15" x14ac:dyDescent="0.25">
      <c r="A39" s="43"/>
      <c r="B39" s="46"/>
      <c r="C39" s="43"/>
      <c r="D39" s="46"/>
      <c r="E39" s="42" t="s">
        <v>163</v>
      </c>
      <c r="F39" s="52">
        <v>0</v>
      </c>
      <c r="G39" s="52">
        <v>88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0</v>
      </c>
    </row>
    <row r="40" spans="1:15" x14ac:dyDescent="0.25">
      <c r="A40" s="43"/>
      <c r="B40" s="46"/>
      <c r="C40" s="43"/>
      <c r="D40" s="46"/>
      <c r="E40" s="42" t="s">
        <v>164</v>
      </c>
      <c r="F40" s="52">
        <v>0</v>
      </c>
      <c r="G40" s="52">
        <v>88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0</v>
      </c>
    </row>
    <row r="41" spans="1:15" x14ac:dyDescent="0.25">
      <c r="A41" s="43"/>
      <c r="B41" s="46"/>
      <c r="C41" s="43"/>
      <c r="D41" s="46"/>
      <c r="E41" s="42" t="s">
        <v>165</v>
      </c>
      <c r="F41" s="52">
        <v>0</v>
      </c>
      <c r="G41" s="52">
        <v>88</v>
      </c>
      <c r="H41" s="52">
        <v>0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0</v>
      </c>
    </row>
    <row r="42" spans="1:15" x14ac:dyDescent="0.25">
      <c r="A42" s="43"/>
      <c r="B42" s="46"/>
      <c r="C42" s="43"/>
      <c r="D42" s="46"/>
      <c r="E42" s="42" t="s">
        <v>166</v>
      </c>
      <c r="F42" s="52">
        <v>0</v>
      </c>
      <c r="G42" s="52">
        <v>88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</row>
  </sheetData>
  <protectedRanges>
    <protectedRange password="EEDA" sqref="E3:E25 E39:E42" name="Range6"/>
  </protectedRanges>
  <mergeCells count="4">
    <mergeCell ref="F1:G1"/>
    <mergeCell ref="K1:L1"/>
    <mergeCell ref="M1:N1"/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5"/>
  <sheetViews>
    <sheetView workbookViewId="0">
      <selection activeCell="D33" sqref="D33"/>
    </sheetView>
  </sheetViews>
  <sheetFormatPr defaultRowHeight="12.75" x14ac:dyDescent="0.2"/>
  <cols>
    <col min="1" max="1" width="40.85546875" style="187" customWidth="1"/>
    <col min="2" max="3" width="22.7109375" style="187" customWidth="1"/>
    <col min="4" max="4" width="25.5703125" style="187" customWidth="1"/>
    <col min="5" max="5" width="43.85546875" style="187" customWidth="1"/>
    <col min="6" max="16384" width="9.140625" style="187"/>
  </cols>
  <sheetData>
    <row r="1" spans="1:5" x14ac:dyDescent="0.2">
      <c r="A1" s="187" t="s">
        <v>613</v>
      </c>
      <c r="B1" s="188" t="s">
        <v>614</v>
      </c>
      <c r="C1" s="188"/>
      <c r="D1" s="188"/>
    </row>
    <row r="2" spans="1:5" ht="25.5" customHeight="1" x14ac:dyDescent="0.2">
      <c r="A2" s="235" t="s">
        <v>32</v>
      </c>
      <c r="B2" s="230" t="s">
        <v>617</v>
      </c>
      <c r="C2" s="230" t="s">
        <v>618</v>
      </c>
      <c r="D2" s="230" t="s">
        <v>619</v>
      </c>
      <c r="E2" s="230" t="s">
        <v>575</v>
      </c>
    </row>
    <row r="3" spans="1:5" x14ac:dyDescent="0.2">
      <c r="A3" s="190" t="s">
        <v>223</v>
      </c>
      <c r="B3" s="290">
        <v>75</v>
      </c>
      <c r="C3" s="290">
        <v>85</v>
      </c>
      <c r="D3" s="189"/>
      <c r="E3" s="294">
        <v>75</v>
      </c>
    </row>
    <row r="4" spans="1:5" x14ac:dyDescent="0.2">
      <c r="A4" s="186" t="s">
        <v>576</v>
      </c>
      <c r="B4" s="290"/>
      <c r="C4" s="290"/>
      <c r="D4" s="189"/>
      <c r="E4" s="294"/>
    </row>
    <row r="5" spans="1:5" x14ac:dyDescent="0.2">
      <c r="A5" s="190" t="s">
        <v>240</v>
      </c>
      <c r="B5" s="290"/>
      <c r="C5" s="290"/>
      <c r="D5" s="189"/>
      <c r="E5" s="294"/>
    </row>
    <row r="6" spans="1:5" x14ac:dyDescent="0.2">
      <c r="A6" s="190" t="s">
        <v>577</v>
      </c>
      <c r="B6" s="290"/>
      <c r="C6" s="290"/>
      <c r="D6" s="189"/>
      <c r="E6" s="294"/>
    </row>
    <row r="7" spans="1:5" ht="25.5" x14ac:dyDescent="0.2">
      <c r="A7" s="190" t="s">
        <v>578</v>
      </c>
      <c r="B7" s="290">
        <v>70</v>
      </c>
      <c r="C7" s="291" t="s">
        <v>616</v>
      </c>
      <c r="D7" s="231"/>
      <c r="E7" s="294"/>
    </row>
    <row r="8" spans="1:5" x14ac:dyDescent="0.2">
      <c r="A8" s="190" t="s">
        <v>579</v>
      </c>
      <c r="B8" s="292" t="s">
        <v>580</v>
      </c>
      <c r="C8" s="292" t="s">
        <v>580</v>
      </c>
      <c r="D8" s="232"/>
      <c r="E8" s="292" t="s">
        <v>580</v>
      </c>
    </row>
    <row r="9" spans="1:5" ht="25.5" x14ac:dyDescent="0.2">
      <c r="A9" s="229" t="s">
        <v>581</v>
      </c>
      <c r="B9" s="293" t="s">
        <v>615</v>
      </c>
      <c r="C9" s="291" t="s">
        <v>615</v>
      </c>
      <c r="D9" s="231"/>
      <c r="E9" s="294"/>
    </row>
    <row r="10" spans="1:5" x14ac:dyDescent="0.2">
      <c r="A10" s="229" t="s">
        <v>582</v>
      </c>
      <c r="B10" s="293"/>
      <c r="C10" s="291"/>
      <c r="D10" s="231"/>
      <c r="E10" s="294" t="s">
        <v>583</v>
      </c>
    </row>
    <row r="11" spans="1:5" x14ac:dyDescent="0.2">
      <c r="A11" s="229" t="s">
        <v>584</v>
      </c>
      <c r="B11" s="293">
        <v>90</v>
      </c>
      <c r="C11" s="291">
        <v>90</v>
      </c>
      <c r="D11" s="231"/>
      <c r="E11" s="294"/>
    </row>
    <row r="12" spans="1:5" x14ac:dyDescent="0.2">
      <c r="A12" s="190" t="s">
        <v>585</v>
      </c>
      <c r="B12" s="290">
        <v>40</v>
      </c>
      <c r="C12" s="290">
        <v>40</v>
      </c>
      <c r="D12" s="189"/>
      <c r="E12" s="290">
        <v>40</v>
      </c>
    </row>
    <row r="13" spans="1:5" x14ac:dyDescent="0.2">
      <c r="A13" s="190" t="s">
        <v>586</v>
      </c>
      <c r="B13" s="290">
        <v>2.5000000000000001E-2</v>
      </c>
      <c r="C13" s="290">
        <v>2.5000000000000001E-2</v>
      </c>
      <c r="D13" s="189"/>
      <c r="E13" s="290">
        <v>2.5000000000000001E-2</v>
      </c>
    </row>
    <row r="14" spans="1:5" x14ac:dyDescent="0.2">
      <c r="A14" s="190" t="s">
        <v>587</v>
      </c>
      <c r="B14" s="290">
        <v>25</v>
      </c>
      <c r="C14" s="290">
        <v>25</v>
      </c>
      <c r="D14" s="189"/>
      <c r="E14" s="290">
        <v>15</v>
      </c>
    </row>
    <row r="15" spans="1:5" x14ac:dyDescent="0.2">
      <c r="A15" s="190" t="s">
        <v>588</v>
      </c>
      <c r="B15" s="290">
        <v>1.4999999999999999E-2</v>
      </c>
      <c r="C15" s="290">
        <v>1.4999999999999999E-2</v>
      </c>
      <c r="D15" s="189"/>
      <c r="E15" s="290">
        <v>1.4999999999999999E-2</v>
      </c>
    </row>
    <row r="16" spans="1:5" x14ac:dyDescent="0.2">
      <c r="A16" s="190" t="s">
        <v>589</v>
      </c>
      <c r="B16" s="290">
        <v>10</v>
      </c>
      <c r="C16" s="290">
        <v>20</v>
      </c>
      <c r="D16" s="189"/>
      <c r="E16" s="290">
        <v>20</v>
      </c>
    </row>
    <row r="17" spans="1:5" x14ac:dyDescent="0.2">
      <c r="A17" s="190" t="s">
        <v>590</v>
      </c>
      <c r="B17" s="290">
        <v>1.4999999999999999E-2</v>
      </c>
      <c r="C17" s="290">
        <v>1.4999999999999999E-2</v>
      </c>
      <c r="D17" s="189"/>
      <c r="E17" s="290">
        <v>0.01</v>
      </c>
    </row>
    <row r="18" spans="1:5" x14ac:dyDescent="0.2">
      <c r="A18" s="190" t="s">
        <v>591</v>
      </c>
      <c r="B18" s="290">
        <v>40</v>
      </c>
      <c r="C18" s="290">
        <v>40</v>
      </c>
      <c r="D18" s="189"/>
      <c r="E18" s="290">
        <v>40</v>
      </c>
    </row>
    <row r="19" spans="1:5" x14ac:dyDescent="0.2">
      <c r="A19" s="190" t="s">
        <v>592</v>
      </c>
      <c r="B19" s="290">
        <v>2.5000000000000001E-2</v>
      </c>
      <c r="C19" s="290">
        <v>2.5000000000000001E-2</v>
      </c>
      <c r="D19" s="189"/>
      <c r="E19" s="290">
        <v>2.5000000000000001E-2</v>
      </c>
    </row>
    <row r="20" spans="1:5" x14ac:dyDescent="0.2">
      <c r="A20" s="190" t="s">
        <v>593</v>
      </c>
      <c r="B20" s="290">
        <v>40</v>
      </c>
      <c r="C20" s="290">
        <v>45</v>
      </c>
      <c r="D20" s="189"/>
      <c r="E20" s="290">
        <v>40</v>
      </c>
    </row>
    <row r="21" spans="1:5" ht="25.5" x14ac:dyDescent="0.2">
      <c r="A21" s="229" t="s">
        <v>594</v>
      </c>
      <c r="B21" s="290">
        <v>4.8000000000000001E-2</v>
      </c>
      <c r="C21" s="290">
        <v>4.8000000000000001E-2</v>
      </c>
      <c r="D21" s="189"/>
      <c r="E21" s="290"/>
    </row>
    <row r="22" spans="1:5" x14ac:dyDescent="0.2">
      <c r="A22" s="229" t="s">
        <v>595</v>
      </c>
      <c r="B22" s="290"/>
      <c r="C22" s="290"/>
      <c r="D22" s="189"/>
      <c r="E22" s="290">
        <v>0.03</v>
      </c>
    </row>
    <row r="23" spans="1:5" x14ac:dyDescent="0.2">
      <c r="A23" s="190" t="s">
        <v>596</v>
      </c>
      <c r="B23" s="290">
        <v>15</v>
      </c>
      <c r="C23" s="290">
        <v>25</v>
      </c>
      <c r="D23" s="189"/>
      <c r="E23" s="290">
        <v>20</v>
      </c>
    </row>
    <row r="24" spans="1:5" x14ac:dyDescent="0.2">
      <c r="A24" s="190" t="s">
        <v>597</v>
      </c>
      <c r="B24" s="290">
        <v>1.4999999999999999E-2</v>
      </c>
      <c r="C24" s="290">
        <v>1.4999999999999999E-2</v>
      </c>
      <c r="D24" s="189"/>
      <c r="E24" s="290">
        <v>1.2E-2</v>
      </c>
    </row>
    <row r="25" spans="1:5" x14ac:dyDescent="0.2">
      <c r="A25" s="190" t="s">
        <v>598</v>
      </c>
      <c r="B25" s="290"/>
      <c r="C25" s="290"/>
      <c r="D25" s="189"/>
      <c r="E25" s="290" t="s">
        <v>599</v>
      </c>
    </row>
    <row r="26" spans="1:5" x14ac:dyDescent="0.2">
      <c r="A26" s="186" t="s">
        <v>600</v>
      </c>
      <c r="B26" s="290">
        <v>25</v>
      </c>
      <c r="C26" s="290">
        <v>25</v>
      </c>
      <c r="D26" s="189"/>
      <c r="E26" s="290">
        <v>25</v>
      </c>
    </row>
    <row r="27" spans="1:5" x14ac:dyDescent="0.2">
      <c r="A27" s="186" t="s">
        <v>601</v>
      </c>
      <c r="B27" s="290">
        <v>15</v>
      </c>
      <c r="C27" s="290">
        <v>15</v>
      </c>
      <c r="D27" s="189"/>
      <c r="E27" s="290">
        <v>15</v>
      </c>
    </row>
    <row r="28" spans="1:5" x14ac:dyDescent="0.2">
      <c r="A28" s="186" t="s">
        <v>602</v>
      </c>
      <c r="B28" s="290">
        <v>1</v>
      </c>
      <c r="C28" s="290">
        <v>1</v>
      </c>
      <c r="D28" s="189"/>
      <c r="E28" s="290">
        <v>1</v>
      </c>
    </row>
    <row r="29" spans="1:5" x14ac:dyDescent="0.2">
      <c r="A29" s="186" t="s">
        <v>603</v>
      </c>
      <c r="B29" s="290">
        <v>0.08</v>
      </c>
      <c r="C29" s="290">
        <v>0.08</v>
      </c>
      <c r="D29" s="189"/>
      <c r="E29" s="290">
        <v>0.08</v>
      </c>
    </row>
    <row r="30" spans="1:5" x14ac:dyDescent="0.2">
      <c r="A30" s="186"/>
      <c r="B30" s="189"/>
      <c r="C30" s="189"/>
      <c r="D30" s="189"/>
      <c r="E30" s="189"/>
    </row>
    <row r="31" spans="1:5" x14ac:dyDescent="0.2">
      <c r="A31" s="233" t="s">
        <v>604</v>
      </c>
      <c r="B31" s="234" t="s">
        <v>605</v>
      </c>
      <c r="C31" s="234" t="s">
        <v>606</v>
      </c>
      <c r="D31" s="233"/>
      <c r="E31" s="233"/>
    </row>
    <row r="32" spans="1:5" x14ac:dyDescent="0.2">
      <c r="A32" s="233" t="s">
        <v>607</v>
      </c>
      <c r="B32" s="290">
        <v>0.13</v>
      </c>
      <c r="C32" s="290">
        <v>0.18</v>
      </c>
      <c r="D32" s="233"/>
      <c r="E32" s="233"/>
    </row>
    <row r="33" spans="1:5" x14ac:dyDescent="0.2">
      <c r="A33" s="233" t="s">
        <v>608</v>
      </c>
      <c r="B33" s="290">
        <v>0.16</v>
      </c>
      <c r="C33" s="290">
        <v>0.21</v>
      </c>
      <c r="D33" s="233"/>
      <c r="E33" s="233"/>
    </row>
    <row r="34" spans="1:5" x14ac:dyDescent="0.2">
      <c r="A34" s="190" t="s">
        <v>609</v>
      </c>
      <c r="B34" s="191" t="s">
        <v>610</v>
      </c>
      <c r="E34" s="192" t="s">
        <v>611</v>
      </c>
    </row>
    <row r="35" spans="1:5" x14ac:dyDescent="0.2">
      <c r="A35" s="190" t="s">
        <v>612</v>
      </c>
      <c r="B35" s="290">
        <v>5.2999999999999999E-2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66"/>
  <sheetViews>
    <sheetView topLeftCell="B1" workbookViewId="0">
      <selection activeCell="M6" sqref="M6:M7"/>
    </sheetView>
  </sheetViews>
  <sheetFormatPr defaultRowHeight="15" x14ac:dyDescent="0.25"/>
  <cols>
    <col min="1" max="1" width="30" customWidth="1"/>
    <col min="2" max="2" width="12.140625" customWidth="1"/>
    <col min="3" max="3" width="19.5703125" customWidth="1"/>
    <col min="4" max="4" width="32" customWidth="1"/>
    <col min="6" max="6" width="12.5703125" customWidth="1"/>
    <col min="8" max="8" width="61.42578125" customWidth="1"/>
    <col min="9" max="9" width="21.42578125" customWidth="1"/>
    <col min="10" max="10" width="12.28515625" customWidth="1"/>
    <col min="11" max="11" width="9.5703125" customWidth="1"/>
    <col min="13" max="13" width="15" customWidth="1"/>
    <col min="14" max="14" width="13.28515625" customWidth="1"/>
  </cols>
  <sheetData>
    <row r="1" spans="1:15" ht="15.75" x14ac:dyDescent="0.25">
      <c r="A1" s="193" t="s">
        <v>620</v>
      </c>
      <c r="F1" s="194">
        <v>43280</v>
      </c>
      <c r="H1" s="195" t="s">
        <v>621</v>
      </c>
      <c r="I1" s="196"/>
      <c r="J1" s="196"/>
      <c r="K1" s="196"/>
      <c r="M1" s="197" t="s">
        <v>622</v>
      </c>
    </row>
    <row r="2" spans="1:15" x14ac:dyDescent="0.25">
      <c r="A2" s="236" t="s">
        <v>32</v>
      </c>
      <c r="B2" s="236" t="s">
        <v>623</v>
      </c>
      <c r="C2" s="236" t="s">
        <v>624</v>
      </c>
      <c r="D2" t="s">
        <v>712</v>
      </c>
      <c r="H2" s="198" t="s">
        <v>625</v>
      </c>
      <c r="I2" s="198"/>
      <c r="J2" s="198"/>
      <c r="K2" s="198"/>
    </row>
    <row r="3" spans="1:15" x14ac:dyDescent="0.25">
      <c r="A3" s="211" t="s">
        <v>626</v>
      </c>
      <c r="B3" s="211">
        <v>25</v>
      </c>
      <c r="C3" s="211">
        <v>10</v>
      </c>
      <c r="H3" s="182"/>
      <c r="I3" s="199" t="s">
        <v>627</v>
      </c>
      <c r="J3" s="199" t="s">
        <v>628</v>
      </c>
      <c r="K3" s="199" t="s">
        <v>629</v>
      </c>
    </row>
    <row r="4" spans="1:15" x14ac:dyDescent="0.25">
      <c r="A4" s="211" t="s">
        <v>630</v>
      </c>
      <c r="B4" s="211">
        <v>38.5</v>
      </c>
      <c r="C4" s="211">
        <v>32</v>
      </c>
      <c r="H4" s="200" t="s">
        <v>631</v>
      </c>
      <c r="I4" s="201"/>
      <c r="J4" s="201"/>
      <c r="K4" s="201"/>
      <c r="M4" s="197" t="s">
        <v>632</v>
      </c>
    </row>
    <row r="5" spans="1:15" x14ac:dyDescent="0.25">
      <c r="A5" s="211" t="s">
        <v>577</v>
      </c>
      <c r="B5" s="211">
        <v>41</v>
      </c>
      <c r="C5" s="211">
        <v>35</v>
      </c>
      <c r="H5" s="200" t="s">
        <v>576</v>
      </c>
      <c r="I5" s="201"/>
      <c r="J5" s="201"/>
      <c r="K5" s="201"/>
      <c r="M5" s="202" t="s">
        <v>633</v>
      </c>
    </row>
    <row r="6" spans="1:15" x14ac:dyDescent="0.25">
      <c r="A6" s="186" t="s">
        <v>223</v>
      </c>
      <c r="B6" s="186">
        <v>102.5</v>
      </c>
      <c r="C6" s="186">
        <v>67</v>
      </c>
      <c r="D6" s="64"/>
      <c r="H6" s="200" t="s">
        <v>634</v>
      </c>
      <c r="I6" s="201"/>
      <c r="J6" s="201"/>
      <c r="K6" s="201"/>
      <c r="M6" s="180" t="s">
        <v>557</v>
      </c>
      <c r="N6" s="180" t="s">
        <v>77</v>
      </c>
    </row>
    <row r="7" spans="1:15" x14ac:dyDescent="0.25">
      <c r="A7" s="211" t="s">
        <v>635</v>
      </c>
      <c r="B7" s="211">
        <v>55</v>
      </c>
      <c r="C7" s="211">
        <v>45</v>
      </c>
      <c r="H7" s="200" t="s">
        <v>636</v>
      </c>
      <c r="I7" s="201"/>
      <c r="J7" s="201"/>
      <c r="K7" s="201"/>
      <c r="M7" s="204" t="s">
        <v>637</v>
      </c>
      <c r="N7" s="205">
        <v>0.374</v>
      </c>
    </row>
    <row r="8" spans="1:15" x14ac:dyDescent="0.25">
      <c r="A8" s="211" t="s">
        <v>257</v>
      </c>
      <c r="B8" s="211">
        <v>20</v>
      </c>
      <c r="C8" s="212">
        <v>17</v>
      </c>
      <c r="H8" s="200" t="s">
        <v>638</v>
      </c>
      <c r="I8" s="201">
        <v>75</v>
      </c>
      <c r="J8" s="201">
        <v>45</v>
      </c>
      <c r="K8" s="201">
        <v>50</v>
      </c>
      <c r="M8" s="180" t="s">
        <v>639</v>
      </c>
      <c r="N8" s="205">
        <v>0.214</v>
      </c>
      <c r="O8" s="206"/>
    </row>
    <row r="9" spans="1:15" x14ac:dyDescent="0.25">
      <c r="A9" s="211" t="s">
        <v>640</v>
      </c>
      <c r="B9" s="211">
        <v>25</v>
      </c>
      <c r="C9" s="212">
        <v>22</v>
      </c>
      <c r="H9" s="200" t="s">
        <v>641</v>
      </c>
      <c r="I9" s="201"/>
      <c r="J9" s="201"/>
      <c r="K9" s="201"/>
      <c r="M9" s="180" t="s">
        <v>642</v>
      </c>
      <c r="N9" s="205">
        <v>0.13300000000000001</v>
      </c>
    </row>
    <row r="10" spans="1:15" x14ac:dyDescent="0.25">
      <c r="A10" s="211" t="s">
        <v>643</v>
      </c>
      <c r="B10" s="211">
        <v>25</v>
      </c>
      <c r="C10" s="212">
        <v>17</v>
      </c>
      <c r="H10" s="200" t="s">
        <v>644</v>
      </c>
      <c r="I10" s="201"/>
      <c r="J10" s="201"/>
      <c r="K10" s="201"/>
      <c r="M10" s="202" t="s">
        <v>645</v>
      </c>
      <c r="O10" s="206"/>
    </row>
    <row r="11" spans="1:15" x14ac:dyDescent="0.25">
      <c r="A11" s="211" t="s">
        <v>257</v>
      </c>
      <c r="B11" s="211">
        <v>30</v>
      </c>
      <c r="C11" s="212">
        <v>22</v>
      </c>
      <c r="H11" s="200" t="s">
        <v>259</v>
      </c>
      <c r="I11" s="201">
        <v>30</v>
      </c>
      <c r="J11" s="201">
        <v>30</v>
      </c>
      <c r="K11" s="201">
        <v>30</v>
      </c>
      <c r="M11" s="180" t="s">
        <v>646</v>
      </c>
      <c r="N11" s="205">
        <v>3.7999999999999999E-2</v>
      </c>
    </row>
    <row r="12" spans="1:15" x14ac:dyDescent="0.25">
      <c r="A12" s="211" t="s">
        <v>257</v>
      </c>
      <c r="B12" s="212">
        <v>35</v>
      </c>
      <c r="C12" s="212">
        <v>26</v>
      </c>
      <c r="H12" s="200" t="s">
        <v>647</v>
      </c>
      <c r="I12" s="201">
        <v>0.06</v>
      </c>
      <c r="J12" s="205">
        <v>6.5000000000000002E-2</v>
      </c>
      <c r="K12" s="205">
        <v>6.2E-2</v>
      </c>
      <c r="O12" s="206"/>
    </row>
    <row r="13" spans="1:15" x14ac:dyDescent="0.25">
      <c r="A13" s="211" t="s">
        <v>257</v>
      </c>
      <c r="B13" s="212">
        <v>40</v>
      </c>
      <c r="C13" s="212">
        <v>30</v>
      </c>
      <c r="H13" s="200" t="s">
        <v>648</v>
      </c>
      <c r="I13" s="201"/>
      <c r="J13" s="201"/>
      <c r="K13" s="201">
        <v>35</v>
      </c>
      <c r="M13" s="197" t="s">
        <v>649</v>
      </c>
    </row>
    <row r="14" spans="1:15" x14ac:dyDescent="0.25">
      <c r="A14" s="211" t="s">
        <v>257</v>
      </c>
      <c r="B14" s="211">
        <v>42.5</v>
      </c>
      <c r="C14" s="212">
        <v>32</v>
      </c>
      <c r="H14" s="200" t="s">
        <v>650</v>
      </c>
      <c r="I14" s="201"/>
      <c r="J14" s="201"/>
      <c r="K14" s="205">
        <v>2.9000000000000001E-2</v>
      </c>
      <c r="M14" s="180" t="s">
        <v>257</v>
      </c>
      <c r="N14" s="180">
        <v>145</v>
      </c>
      <c r="O14" s="206"/>
    </row>
    <row r="15" spans="1:15" x14ac:dyDescent="0.25">
      <c r="A15" s="211" t="s">
        <v>257</v>
      </c>
      <c r="B15" s="211">
        <v>45</v>
      </c>
      <c r="C15" s="212">
        <v>34</v>
      </c>
      <c r="H15" s="203" t="s">
        <v>651</v>
      </c>
      <c r="I15" s="201">
        <v>55</v>
      </c>
      <c r="J15" s="201">
        <v>400</v>
      </c>
      <c r="K15" s="201">
        <v>55</v>
      </c>
      <c r="M15" s="204" t="s">
        <v>652</v>
      </c>
      <c r="N15" s="205">
        <v>0.14599999999999999</v>
      </c>
    </row>
    <row r="16" spans="1:15" x14ac:dyDescent="0.25">
      <c r="A16" s="211" t="s">
        <v>257</v>
      </c>
      <c r="B16" s="211">
        <v>47.5</v>
      </c>
      <c r="C16" s="212">
        <v>36</v>
      </c>
      <c r="D16" s="192"/>
      <c r="H16" s="182"/>
      <c r="I16" s="207"/>
      <c r="J16" s="207"/>
      <c r="K16" s="207"/>
      <c r="O16" s="206"/>
    </row>
    <row r="17" spans="1:15" x14ac:dyDescent="0.25">
      <c r="A17" s="211" t="s">
        <v>257</v>
      </c>
      <c r="B17" s="211">
        <v>50</v>
      </c>
      <c r="C17" s="212">
        <v>38</v>
      </c>
      <c r="D17" s="192"/>
      <c r="H17" s="208" t="s">
        <v>653</v>
      </c>
      <c r="I17" s="209"/>
      <c r="J17" s="209"/>
      <c r="K17" s="209"/>
      <c r="M17" s="197" t="s">
        <v>654</v>
      </c>
    </row>
    <row r="18" spans="1:15" x14ac:dyDescent="0.25">
      <c r="A18" s="211" t="s">
        <v>257</v>
      </c>
      <c r="B18" s="211">
        <v>55</v>
      </c>
      <c r="C18" s="212">
        <v>43</v>
      </c>
      <c r="D18" s="192"/>
      <c r="H18" s="200" t="s">
        <v>576</v>
      </c>
      <c r="I18" s="201">
        <v>25</v>
      </c>
      <c r="J18" s="201">
        <v>20</v>
      </c>
      <c r="K18" s="201">
        <v>15</v>
      </c>
      <c r="M18" s="181" t="s">
        <v>557</v>
      </c>
      <c r="N18" s="181" t="s">
        <v>77</v>
      </c>
      <c r="O18" s="206"/>
    </row>
    <row r="19" spans="1:15" x14ac:dyDescent="0.25">
      <c r="A19" s="211" t="s">
        <v>257</v>
      </c>
      <c r="B19" s="211">
        <v>57.5</v>
      </c>
      <c r="C19" s="212">
        <v>45</v>
      </c>
      <c r="H19" s="200" t="s">
        <v>655</v>
      </c>
      <c r="I19" s="201"/>
      <c r="J19" s="201"/>
      <c r="K19" s="201"/>
      <c r="M19" s="180" t="s">
        <v>656</v>
      </c>
      <c r="N19" s="210" t="s">
        <v>657</v>
      </c>
    </row>
    <row r="20" spans="1:15" x14ac:dyDescent="0.25">
      <c r="A20" s="186" t="s">
        <v>658</v>
      </c>
      <c r="B20" s="182">
        <v>75</v>
      </c>
      <c r="C20" s="182">
        <v>25</v>
      </c>
      <c r="D20" s="192" t="s">
        <v>659</v>
      </c>
      <c r="H20" s="200" t="s">
        <v>660</v>
      </c>
      <c r="I20" s="201">
        <v>77.5</v>
      </c>
      <c r="J20" s="201">
        <v>67.5</v>
      </c>
      <c r="K20" s="201">
        <v>77.5</v>
      </c>
      <c r="M20" s="180" t="s">
        <v>661</v>
      </c>
      <c r="N20" s="205">
        <v>0.70399999999999996</v>
      </c>
      <c r="O20" s="206"/>
    </row>
    <row r="21" spans="1:15" x14ac:dyDescent="0.25">
      <c r="A21" s="186" t="s">
        <v>662</v>
      </c>
      <c r="B21" s="182"/>
      <c r="C21" s="182">
        <v>105</v>
      </c>
      <c r="D21" s="192" t="s">
        <v>713</v>
      </c>
      <c r="H21" s="200" t="s">
        <v>663</v>
      </c>
      <c r="I21" s="201">
        <v>25</v>
      </c>
      <c r="J21" s="201">
        <v>25</v>
      </c>
      <c r="K21" s="201">
        <v>25</v>
      </c>
      <c r="M21" s="181" t="s">
        <v>664</v>
      </c>
      <c r="N21" s="205">
        <v>0.38800000000000001</v>
      </c>
    </row>
    <row r="22" spans="1:15" x14ac:dyDescent="0.25">
      <c r="A22" s="186" t="s">
        <v>665</v>
      </c>
      <c r="B22" s="182"/>
      <c r="C22" s="182">
        <v>150</v>
      </c>
      <c r="D22" s="192" t="s">
        <v>666</v>
      </c>
      <c r="H22" s="200" t="s">
        <v>667</v>
      </c>
      <c r="I22" s="201">
        <v>0.2</v>
      </c>
      <c r="J22" s="201">
        <v>0.28000000000000003</v>
      </c>
      <c r="K22" s="201">
        <v>0.34</v>
      </c>
      <c r="M22" s="181" t="s">
        <v>668</v>
      </c>
      <c r="N22" s="205">
        <v>0.377</v>
      </c>
      <c r="O22" s="206"/>
    </row>
    <row r="23" spans="1:15" x14ac:dyDescent="0.25">
      <c r="A23" s="186" t="s">
        <v>669</v>
      </c>
      <c r="B23" s="182"/>
      <c r="C23" s="182">
        <v>95</v>
      </c>
      <c r="H23" s="200" t="s">
        <v>670</v>
      </c>
      <c r="I23" s="201">
        <v>30</v>
      </c>
      <c r="J23" s="201">
        <v>30</v>
      </c>
      <c r="K23" s="201">
        <v>30</v>
      </c>
      <c r="M23" s="180" t="s">
        <v>671</v>
      </c>
      <c r="N23" s="205">
        <v>0.36699999999999999</v>
      </c>
    </row>
    <row r="24" spans="1:15" x14ac:dyDescent="0.25">
      <c r="A24" s="211" t="s">
        <v>672</v>
      </c>
      <c r="B24" s="212"/>
      <c r="C24" s="212"/>
      <c r="H24" s="200" t="s">
        <v>673</v>
      </c>
      <c r="I24" s="201">
        <v>0.41</v>
      </c>
      <c r="J24" s="201">
        <v>0.31</v>
      </c>
      <c r="K24" s="201">
        <v>0.36</v>
      </c>
    </row>
    <row r="25" spans="1:15" x14ac:dyDescent="0.25">
      <c r="A25" s="212"/>
      <c r="B25" s="212"/>
      <c r="C25" s="212"/>
      <c r="H25" s="203" t="s">
        <v>674</v>
      </c>
      <c r="I25" s="201">
        <v>35</v>
      </c>
      <c r="J25" s="201">
        <v>35</v>
      </c>
      <c r="K25" s="201">
        <v>25</v>
      </c>
    </row>
    <row r="26" spans="1:15" x14ac:dyDescent="0.25">
      <c r="A26" s="211" t="s">
        <v>675</v>
      </c>
      <c r="B26" s="212"/>
      <c r="C26" s="212"/>
      <c r="H26" s="200" t="s">
        <v>676</v>
      </c>
      <c r="I26" s="201">
        <v>0.2</v>
      </c>
      <c r="J26" s="201">
        <v>0.2</v>
      </c>
      <c r="K26" s="201">
        <v>0.2</v>
      </c>
    </row>
    <row r="27" spans="1:15" x14ac:dyDescent="0.25">
      <c r="A27" s="212"/>
      <c r="B27" s="212"/>
      <c r="C27" s="212"/>
      <c r="H27" s="200" t="s">
        <v>596</v>
      </c>
      <c r="I27" s="201">
        <v>20</v>
      </c>
      <c r="J27" s="201">
        <v>20</v>
      </c>
      <c r="K27" s="201">
        <v>20</v>
      </c>
    </row>
    <row r="28" spans="1:15" x14ac:dyDescent="0.25">
      <c r="A28" s="211" t="s">
        <v>677</v>
      </c>
      <c r="B28" s="212"/>
      <c r="C28" s="212"/>
      <c r="H28" s="200" t="s">
        <v>678</v>
      </c>
      <c r="I28" s="200">
        <v>0.02</v>
      </c>
      <c r="J28" s="200">
        <v>0.02</v>
      </c>
      <c r="K28" s="200">
        <v>0.02</v>
      </c>
    </row>
    <row r="29" spans="1:15" x14ac:dyDescent="0.25">
      <c r="A29" s="212"/>
      <c r="B29" s="212"/>
      <c r="C29" s="212"/>
    </row>
    <row r="30" spans="1:15" x14ac:dyDescent="0.25">
      <c r="A30" s="212"/>
      <c r="B30" s="212"/>
      <c r="C30" s="212"/>
    </row>
    <row r="31" spans="1:15" x14ac:dyDescent="0.25">
      <c r="A31" s="212"/>
      <c r="B31" s="212"/>
      <c r="C31" s="212"/>
    </row>
    <row r="32" spans="1:15" ht="15.75" x14ac:dyDescent="0.25">
      <c r="A32" s="193" t="s">
        <v>679</v>
      </c>
      <c r="B32" s="212"/>
      <c r="C32" s="212"/>
      <c r="E32" s="197"/>
    </row>
    <row r="33" spans="1:5" x14ac:dyDescent="0.25">
      <c r="A33" s="212" t="s">
        <v>680</v>
      </c>
      <c r="B33" s="212"/>
      <c r="C33" s="212"/>
      <c r="E33" s="197"/>
    </row>
    <row r="34" spans="1:5" x14ac:dyDescent="0.25">
      <c r="A34" s="212" t="s">
        <v>681</v>
      </c>
      <c r="B34" s="212"/>
      <c r="C34" s="212"/>
      <c r="E34" s="213"/>
    </row>
    <row r="35" spans="1:5" x14ac:dyDescent="0.25">
      <c r="A35" s="239" t="s">
        <v>32</v>
      </c>
      <c r="B35" s="184" t="s">
        <v>682</v>
      </c>
      <c r="C35" s="212"/>
      <c r="E35" s="213"/>
    </row>
    <row r="36" spans="1:5" ht="30" x14ac:dyDescent="0.25">
      <c r="A36" s="185" t="s">
        <v>683</v>
      </c>
      <c r="B36" s="183">
        <v>7.7499999999999999E-2</v>
      </c>
      <c r="C36" s="212"/>
      <c r="E36" s="213"/>
    </row>
    <row r="37" spans="1:5" ht="30" x14ac:dyDescent="0.25">
      <c r="A37" s="185" t="s">
        <v>684</v>
      </c>
      <c r="B37" s="183">
        <v>0.1125</v>
      </c>
      <c r="C37" s="212"/>
      <c r="E37" s="213"/>
    </row>
    <row r="38" spans="1:5" ht="30" x14ac:dyDescent="0.25">
      <c r="A38" s="185" t="s">
        <v>686</v>
      </c>
      <c r="B38" s="183">
        <v>0.1275</v>
      </c>
      <c r="C38" s="212"/>
      <c r="E38" s="213"/>
    </row>
    <row r="39" spans="1:5" ht="30" x14ac:dyDescent="0.25">
      <c r="A39" s="237" t="s">
        <v>688</v>
      </c>
      <c r="B39" s="238">
        <v>5.0000000000000001E-3</v>
      </c>
      <c r="C39" s="182"/>
      <c r="E39" s="213"/>
    </row>
    <row r="40" spans="1:5" x14ac:dyDescent="0.25">
      <c r="A40" s="215"/>
      <c r="E40" s="213"/>
    </row>
    <row r="41" spans="1:5" ht="15.75" x14ac:dyDescent="0.25">
      <c r="A41" s="193" t="s">
        <v>690</v>
      </c>
      <c r="E41" s="213"/>
    </row>
    <row r="42" spans="1:5" x14ac:dyDescent="0.25">
      <c r="B42" s="216">
        <v>38937</v>
      </c>
      <c r="C42" s="216">
        <v>41487</v>
      </c>
      <c r="E42" s="213"/>
    </row>
    <row r="43" spans="1:5" x14ac:dyDescent="0.25">
      <c r="A43" s="181" t="s">
        <v>693</v>
      </c>
      <c r="B43" s="217">
        <v>125</v>
      </c>
      <c r="C43" s="217">
        <v>165</v>
      </c>
      <c r="D43" s="213"/>
      <c r="E43" s="213"/>
    </row>
    <row r="44" spans="1:5" x14ac:dyDescent="0.25">
      <c r="A44" s="211"/>
      <c r="B44" s="219"/>
      <c r="C44" s="219"/>
      <c r="D44" s="213"/>
      <c r="E44" s="213"/>
    </row>
    <row r="45" spans="1:5" x14ac:dyDescent="0.25">
      <c r="A45" s="212"/>
      <c r="B45" s="211" t="s">
        <v>696</v>
      </c>
      <c r="C45" s="211" t="s">
        <v>696</v>
      </c>
      <c r="D45" s="214">
        <v>50</v>
      </c>
      <c r="E45" s="214"/>
    </row>
    <row r="46" spans="1:5" x14ac:dyDescent="0.25">
      <c r="A46" s="181" t="s">
        <v>698</v>
      </c>
      <c r="B46" s="220">
        <v>40</v>
      </c>
      <c r="C46" s="220">
        <v>50</v>
      </c>
      <c r="D46" s="214">
        <v>10</v>
      </c>
      <c r="E46" s="214" t="s">
        <v>685</v>
      </c>
    </row>
    <row r="47" spans="1:5" x14ac:dyDescent="0.25">
      <c r="A47" s="212"/>
      <c r="B47" s="211"/>
      <c r="C47" s="211"/>
      <c r="D47" s="214">
        <v>5</v>
      </c>
      <c r="E47" s="214" t="s">
        <v>687</v>
      </c>
    </row>
    <row r="48" spans="1:5" x14ac:dyDescent="0.25">
      <c r="A48" s="181" t="s">
        <v>701</v>
      </c>
      <c r="B48" s="221">
        <v>10</v>
      </c>
      <c r="C48" s="221">
        <v>10</v>
      </c>
      <c r="D48" s="218">
        <v>2.5</v>
      </c>
      <c r="E48" s="214" t="s">
        <v>689</v>
      </c>
    </row>
    <row r="49" spans="1:6" x14ac:dyDescent="0.25">
      <c r="A49" s="181" t="s">
        <v>702</v>
      </c>
      <c r="B49" s="221">
        <v>5</v>
      </c>
      <c r="C49" s="221">
        <v>5</v>
      </c>
      <c r="D49" s="218">
        <v>2.5</v>
      </c>
      <c r="E49" s="214" t="s">
        <v>689</v>
      </c>
    </row>
    <row r="50" spans="1:6" x14ac:dyDescent="0.25">
      <c r="A50" s="181" t="s">
        <v>240</v>
      </c>
      <c r="B50" s="180"/>
      <c r="C50" s="180"/>
      <c r="D50" s="218">
        <v>6</v>
      </c>
      <c r="E50" s="214" t="s">
        <v>691</v>
      </c>
    </row>
    <row r="51" spans="1:6" x14ac:dyDescent="0.25">
      <c r="A51" s="223" t="s">
        <v>703</v>
      </c>
      <c r="B51" s="217">
        <v>2</v>
      </c>
      <c r="C51" s="217">
        <v>2</v>
      </c>
      <c r="D51" s="218">
        <v>2.5</v>
      </c>
      <c r="E51" s="214" t="s">
        <v>692</v>
      </c>
    </row>
    <row r="52" spans="1:6" x14ac:dyDescent="0.25">
      <c r="A52" s="223" t="s">
        <v>704</v>
      </c>
      <c r="B52" s="217">
        <v>1.5</v>
      </c>
      <c r="C52" s="217">
        <v>1.5</v>
      </c>
      <c r="D52" s="214">
        <v>10</v>
      </c>
      <c r="E52" s="214" t="s">
        <v>694</v>
      </c>
    </row>
    <row r="53" spans="1:6" x14ac:dyDescent="0.25">
      <c r="A53" s="223" t="s">
        <v>705</v>
      </c>
      <c r="B53" s="225">
        <v>1</v>
      </c>
      <c r="C53" s="225">
        <v>1</v>
      </c>
      <c r="D53" s="214">
        <v>45</v>
      </c>
      <c r="E53" s="214" t="s">
        <v>695</v>
      </c>
    </row>
    <row r="54" spans="1:6" x14ac:dyDescent="0.25">
      <c r="A54" s="226" t="s">
        <v>577</v>
      </c>
      <c r="B54" s="180"/>
      <c r="C54" s="180"/>
      <c r="D54" s="214">
        <v>65</v>
      </c>
      <c r="E54" s="214" t="s">
        <v>697</v>
      </c>
    </row>
    <row r="55" spans="1:6" x14ac:dyDescent="0.25">
      <c r="A55" s="223" t="s">
        <v>703</v>
      </c>
      <c r="B55" s="217">
        <v>2</v>
      </c>
      <c r="C55" s="217">
        <v>2</v>
      </c>
      <c r="D55" s="214">
        <v>15</v>
      </c>
      <c r="E55" s="214" t="s">
        <v>699</v>
      </c>
    </row>
    <row r="56" spans="1:6" x14ac:dyDescent="0.25">
      <c r="A56" s="223" t="s">
        <v>704</v>
      </c>
      <c r="B56" s="217">
        <v>1.5</v>
      </c>
      <c r="C56" s="217">
        <v>1.5</v>
      </c>
      <c r="D56" s="214">
        <v>15</v>
      </c>
      <c r="E56" s="214" t="s">
        <v>700</v>
      </c>
      <c r="F56" s="212"/>
    </row>
    <row r="57" spans="1:6" x14ac:dyDescent="0.25">
      <c r="A57" s="223" t="s">
        <v>705</v>
      </c>
      <c r="B57" s="225">
        <v>1</v>
      </c>
      <c r="C57" s="225">
        <v>1</v>
      </c>
      <c r="D57" s="224"/>
      <c r="E57" s="222"/>
      <c r="F57" s="212"/>
    </row>
    <row r="58" spans="1:6" x14ac:dyDescent="0.25">
      <c r="A58" s="223" t="s">
        <v>706</v>
      </c>
      <c r="B58" s="217">
        <v>35</v>
      </c>
      <c r="C58" s="217">
        <v>35</v>
      </c>
      <c r="D58" s="222"/>
      <c r="E58" s="222"/>
    </row>
    <row r="59" spans="1:6" x14ac:dyDescent="0.25">
      <c r="A59" s="226" t="s">
        <v>707</v>
      </c>
      <c r="B59" s="225">
        <v>10</v>
      </c>
      <c r="C59" s="225">
        <v>10</v>
      </c>
      <c r="D59" s="222"/>
      <c r="E59" s="222"/>
    </row>
    <row r="60" spans="1:6" x14ac:dyDescent="0.25">
      <c r="A60" s="226" t="s">
        <v>708</v>
      </c>
      <c r="B60" s="217">
        <v>70</v>
      </c>
      <c r="C60" s="217">
        <v>70</v>
      </c>
      <c r="D60" s="214">
        <v>100</v>
      </c>
      <c r="E60" s="214" t="s">
        <v>695</v>
      </c>
    </row>
    <row r="61" spans="1:6" x14ac:dyDescent="0.25">
      <c r="D61" s="222"/>
      <c r="E61" s="222"/>
    </row>
    <row r="62" spans="1:6" x14ac:dyDescent="0.25">
      <c r="A62" s="192" t="s">
        <v>709</v>
      </c>
      <c r="D62" s="214">
        <v>20</v>
      </c>
      <c r="E62" s="214" t="s">
        <v>695</v>
      </c>
    </row>
    <row r="63" spans="1:6" x14ac:dyDescent="0.25">
      <c r="A63" s="223" t="s">
        <v>710</v>
      </c>
      <c r="B63" s="217">
        <v>35</v>
      </c>
      <c r="C63" s="217">
        <v>35</v>
      </c>
      <c r="D63" s="214">
        <v>35</v>
      </c>
      <c r="E63" s="214" t="s">
        <v>689</v>
      </c>
    </row>
    <row r="64" spans="1:6" x14ac:dyDescent="0.25">
      <c r="A64" s="223" t="s">
        <v>711</v>
      </c>
      <c r="B64" s="217">
        <v>30</v>
      </c>
      <c r="C64" s="217">
        <v>30</v>
      </c>
      <c r="D64" s="214">
        <v>37</v>
      </c>
      <c r="E64" s="214" t="s">
        <v>689</v>
      </c>
    </row>
    <row r="65" spans="1:3" x14ac:dyDescent="0.25">
      <c r="A65" s="227"/>
      <c r="B65" s="228"/>
      <c r="C65" s="228"/>
    </row>
    <row r="66" spans="1:3" x14ac:dyDescent="0.25">
      <c r="A66" s="227"/>
      <c r="B66" s="228"/>
      <c r="C66" s="228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DocInfo</vt:lpstr>
      <vt:lpstr>Pricing</vt:lpstr>
      <vt:lpstr>ClientServices</vt:lpstr>
      <vt:lpstr>Quoting</vt:lpstr>
      <vt:lpstr>DiscountLevels</vt:lpstr>
      <vt:lpstr>PrintingEnv</vt:lpstr>
      <vt:lpstr>TablesAndCalcsEnv</vt:lpstr>
      <vt:lpstr>Printing</vt:lpstr>
      <vt:lpstr>TablesAndCalcsPrinting</vt:lpstr>
      <vt:lpstr>HousePapers</vt:lpstr>
      <vt:lpstr>SpecialPricing-Dartmouth</vt:lpstr>
      <vt:lpstr>SpecialPricing-Other</vt:lpstr>
      <vt:lpstr>Pricing!Print_Area</vt:lpstr>
      <vt:lpstr>Printing!Print_Area</vt:lpstr>
      <vt:lpstr>PrintingEnv!Print_Area</vt:lpstr>
      <vt:lpstr>Quoting!Print_Area</vt:lpstr>
      <vt:lpstr>TablesAndCalcsEnv!Print_Area</vt:lpstr>
      <vt:lpstr>TablesAndCalcsPrinting!Print_Area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Theresa Glabach</dc:creator>
  <cp:lastModifiedBy>Theresa Glabach</cp:lastModifiedBy>
  <cp:lastPrinted>2018-07-13T15:58:58Z</cp:lastPrinted>
  <dcterms:created xsi:type="dcterms:W3CDTF">2018-06-14T18:56:14Z</dcterms:created>
  <dcterms:modified xsi:type="dcterms:W3CDTF">2019-03-12T15:18:48Z</dcterms:modified>
</cp:coreProperties>
</file>