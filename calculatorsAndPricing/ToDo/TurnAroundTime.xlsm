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FIVEMAPLES\Procedures and Training\Procedures - Project Management\Standard Turn Around Times\"/>
    </mc:Choice>
  </mc:AlternateContent>
  <bookViews>
    <workbookView xWindow="0" yWindow="0" windowWidth="24000" windowHeight="9510"/>
  </bookViews>
  <sheets>
    <sheet name="Process" sheetId="2" r:id="rId1"/>
    <sheet name="SPC turnarounds" sheetId="3" r:id="rId2"/>
  </sheets>
  <definedNames>
    <definedName name="Factor">Process!$D$43:$F$55</definedName>
    <definedName name="_xlnm.Print_Area" localSheetId="0">Process!$A$6:$M$38</definedName>
    <definedName name="PrintType">Process!$H$43:$J$44</definedName>
    <definedName name="Quantity">Process!$A$43:$B$56</definedName>
  </definedNames>
  <calcPr calcId="171027"/>
</workbook>
</file>

<file path=xl/calcChain.xml><?xml version="1.0" encoding="utf-8"?>
<calcChain xmlns="http://schemas.openxmlformats.org/spreadsheetml/2006/main">
  <c r="G75" i="2" l="1"/>
  <c r="G74" i="2"/>
  <c r="G73" i="2"/>
  <c r="G72" i="2"/>
  <c r="G71" i="2"/>
  <c r="G70" i="2"/>
  <c r="G69" i="2"/>
  <c r="G68" i="2"/>
  <c r="G67" i="2"/>
  <c r="G66" i="2"/>
  <c r="G65" i="2"/>
  <c r="G64" i="2"/>
  <c r="G63" i="2"/>
  <c r="G61" i="2"/>
  <c r="G62" i="2" s="1"/>
  <c r="G76" i="2" l="1"/>
  <c r="G77" i="2" s="1"/>
  <c r="C67" i="2" l="1"/>
  <c r="C75" i="2"/>
  <c r="C72" i="2"/>
  <c r="C74" i="2"/>
  <c r="C68" i="2"/>
  <c r="C63" i="2"/>
  <c r="C70" i="2"/>
  <c r="C71" i="2"/>
  <c r="C65" i="2"/>
  <c r="C69" i="2"/>
  <c r="C64" i="2"/>
  <c r="C73" i="2"/>
  <c r="C66" i="2"/>
  <c r="G41" i="2" l="1"/>
  <c r="G42" i="2" s="1"/>
  <c r="G45" i="2"/>
  <c r="G46" i="2"/>
  <c r="G47" i="2"/>
  <c r="G48" i="2"/>
  <c r="G49" i="2"/>
  <c r="G50" i="2"/>
  <c r="G51" i="2"/>
  <c r="G52" i="2"/>
  <c r="G53" i="2"/>
  <c r="G54" i="2"/>
  <c r="G55" i="2"/>
  <c r="G44" i="2"/>
  <c r="G43" i="2"/>
  <c r="G56" i="2" l="1"/>
  <c r="G57" i="2" s="1"/>
  <c r="B72" i="2" l="1"/>
  <c r="B69" i="2"/>
  <c r="B63" i="2"/>
  <c r="B74" i="2"/>
  <c r="B75" i="2"/>
  <c r="B66" i="2"/>
  <c r="B67" i="2"/>
  <c r="B71" i="2"/>
  <c r="B68" i="2"/>
  <c r="B65" i="2"/>
  <c r="B70" i="2"/>
  <c r="B73" i="2"/>
  <c r="B64" i="2"/>
  <c r="C49" i="2"/>
  <c r="B16" i="2" s="1"/>
  <c r="C50" i="2"/>
  <c r="B17" i="2" s="1"/>
  <c r="C51" i="2"/>
  <c r="B18" i="2" s="1"/>
  <c r="C44" i="2"/>
  <c r="B11" i="2" s="1"/>
  <c r="C52" i="2"/>
  <c r="B19" i="2" s="1"/>
  <c r="C45" i="2"/>
  <c r="B12" i="2" s="1"/>
  <c r="C53" i="2"/>
  <c r="B20" i="2" s="1"/>
  <c r="C46" i="2"/>
  <c r="B13" i="2" s="1"/>
  <c r="C54" i="2"/>
  <c r="B21" i="2" s="1"/>
  <c r="C47" i="2"/>
  <c r="B14" i="2" s="1"/>
  <c r="C55" i="2"/>
  <c r="B22" i="2" s="1"/>
  <c r="C48" i="2"/>
  <c r="B15" i="2" s="1"/>
  <c r="C43" i="2"/>
  <c r="B10" i="2" s="1"/>
  <c r="E22" i="2" l="1"/>
  <c r="F22" i="2"/>
  <c r="C22" i="2"/>
  <c r="L19" i="2"/>
  <c r="C19" i="2"/>
  <c r="M19" i="2"/>
  <c r="F19" i="2"/>
  <c r="E19" i="2"/>
  <c r="D19" i="2"/>
  <c r="G19" i="2"/>
  <c r="H19" i="2"/>
  <c r="K19" i="2"/>
  <c r="J19" i="2"/>
  <c r="K14" i="2"/>
  <c r="L14" i="2"/>
  <c r="C14" i="2"/>
  <c r="M14" i="2"/>
  <c r="F14" i="2"/>
  <c r="E14" i="2"/>
  <c r="D14" i="2"/>
  <c r="G14" i="2"/>
  <c r="I14" i="2"/>
  <c r="J14" i="2"/>
  <c r="H14" i="2"/>
  <c r="G11" i="2"/>
  <c r="I11" i="2"/>
  <c r="J11" i="2"/>
  <c r="H11" i="2"/>
  <c r="K11" i="2"/>
  <c r="D11" i="2"/>
  <c r="F11" i="2"/>
  <c r="L11" i="2"/>
  <c r="E11" i="2"/>
  <c r="C11" i="2"/>
  <c r="M11" i="2"/>
  <c r="J21" i="2"/>
  <c r="K21" i="2"/>
  <c r="L21" i="2"/>
  <c r="C21" i="2"/>
  <c r="M21" i="2"/>
  <c r="F21" i="2"/>
  <c r="E21" i="2"/>
  <c r="D21" i="2"/>
  <c r="G21" i="2"/>
  <c r="M18" i="2"/>
  <c r="F18" i="2"/>
  <c r="E18" i="2"/>
  <c r="D18" i="2"/>
  <c r="G18" i="2"/>
  <c r="J18" i="2"/>
  <c r="H18" i="2"/>
  <c r="C18" i="2"/>
  <c r="L18" i="2"/>
  <c r="K18" i="2"/>
  <c r="L13" i="2"/>
  <c r="C13" i="2"/>
  <c r="M13" i="2"/>
  <c r="F13" i="2"/>
  <c r="E13" i="2"/>
  <c r="D13" i="2"/>
  <c r="G13" i="2"/>
  <c r="I13" i="2"/>
  <c r="K13" i="2"/>
  <c r="H13" i="2"/>
  <c r="J13" i="2"/>
  <c r="G17" i="2"/>
  <c r="I17" i="2"/>
  <c r="J17" i="2"/>
  <c r="H17" i="2"/>
  <c r="K17" i="2"/>
  <c r="M17" i="2"/>
  <c r="F17" i="2"/>
  <c r="D17" i="2"/>
  <c r="L17" i="2"/>
  <c r="E17" i="2"/>
  <c r="C17" i="2"/>
  <c r="F10" i="2"/>
  <c r="L10" i="2"/>
  <c r="G10" i="2"/>
  <c r="M10" i="2"/>
  <c r="H10" i="2"/>
  <c r="C10" i="2"/>
  <c r="K10" i="2"/>
  <c r="E10" i="2"/>
  <c r="D10" i="2"/>
  <c r="I10" i="2"/>
  <c r="J10" i="2"/>
  <c r="K20" i="2"/>
  <c r="L20" i="2"/>
  <c r="C20" i="2"/>
  <c r="M20" i="2"/>
  <c r="F20" i="2"/>
  <c r="E20" i="2"/>
  <c r="D20" i="2"/>
  <c r="G20" i="2"/>
  <c r="J20" i="2"/>
  <c r="H20" i="2"/>
  <c r="I16" i="2"/>
  <c r="J16" i="2"/>
  <c r="H16" i="2"/>
  <c r="K16" i="2"/>
  <c r="L16" i="2"/>
  <c r="C16" i="2"/>
  <c r="E16" i="2"/>
  <c r="D16" i="2"/>
  <c r="G16" i="2"/>
  <c r="M16" i="2"/>
  <c r="F16" i="2"/>
  <c r="J15" i="2"/>
  <c r="H15" i="2"/>
  <c r="K15" i="2"/>
  <c r="L15" i="2"/>
  <c r="C15" i="2"/>
  <c r="M15" i="2"/>
  <c r="F15" i="2"/>
  <c r="E15" i="2"/>
  <c r="D15" i="2"/>
  <c r="G15" i="2"/>
  <c r="I15" i="2"/>
  <c r="M12" i="2"/>
  <c r="F12" i="2"/>
  <c r="E12" i="2"/>
  <c r="D12" i="2"/>
  <c r="G12" i="2"/>
  <c r="I12" i="2"/>
  <c r="J12" i="2"/>
  <c r="H12" i="2"/>
  <c r="C12" i="2"/>
  <c r="K12" i="2"/>
  <c r="L12" i="2"/>
  <c r="B55" i="2"/>
  <c r="B51" i="2"/>
  <c r="B54" i="2"/>
  <c r="B49" i="2"/>
  <c r="B53" i="2"/>
  <c r="B43" i="2"/>
  <c r="B52" i="2"/>
  <c r="B47" i="2"/>
  <c r="B50" i="2"/>
  <c r="B46" i="2"/>
  <c r="B45" i="2"/>
  <c r="B48" i="2"/>
  <c r="B44" i="2"/>
</calcChain>
</file>

<file path=xl/comments1.xml><?xml version="1.0" encoding="utf-8"?>
<comments xmlns="http://schemas.openxmlformats.org/spreadsheetml/2006/main">
  <authors>
    <author>user</author>
  </authors>
  <commentList>
    <comment ref="S16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need option for bleeds, which have to be perfed out</t>
        </r>
      </text>
    </comment>
  </commentList>
</comments>
</file>

<file path=xl/sharedStrings.xml><?xml version="1.0" encoding="utf-8"?>
<sst xmlns="http://schemas.openxmlformats.org/spreadsheetml/2006/main" count="252" uniqueCount="165">
  <si>
    <t>Postcards</t>
  </si>
  <si>
    <t>3 days</t>
  </si>
  <si>
    <t>4 days</t>
  </si>
  <si>
    <t>Self Mailers w 1 tab</t>
  </si>
  <si>
    <t>FLATS</t>
  </si>
  <si>
    <t>Run Speed/hr</t>
  </si>
  <si>
    <t>5 days</t>
  </si>
  <si>
    <t>Quantity up to</t>
  </si>
  <si>
    <t>&gt;150000</t>
  </si>
  <si>
    <t>Includes standard LCP, NCOA, and dedupes for small jobs</t>
  </si>
  <si>
    <t>Color Key:</t>
  </si>
  <si>
    <t>Discuss or precedent</t>
  </si>
  <si>
    <t>Merges include standard DP work, but not complicated dynamic merges, or extensive coding</t>
  </si>
  <si>
    <t>Receipt of materials in Gaylords or palletized may improve lead times in some cases</t>
  </si>
  <si>
    <t>Dedupes over 10000, or multiple lists may increase turnaround</t>
  </si>
  <si>
    <t>Booklets with 3 tabs</t>
  </si>
  <si>
    <t>address #10 and machine Insert - no match</t>
  </si>
  <si>
    <t>address 6x9 and machine Insert - no match</t>
  </si>
  <si>
    <t>address 9x12 and machine Insert - no match</t>
  </si>
  <si>
    <t>Merge and print letter-insert window envel. no match</t>
  </si>
  <si>
    <t>days of DP + (printing) + (folding) + addressing + (inserting)</t>
  </si>
  <si>
    <t>Turnaround is measured from the day materials and list are received until the day of postal audit (2pm on the day of mailing)</t>
  </si>
  <si>
    <t>Example: materials and list complete on Tuesday, 3 day turn around is measured as Wed, Thurs, Friday; mailing is Friday.</t>
  </si>
  <si>
    <t>Mailrite Standard Turn Around Times - for SPC</t>
  </si>
  <si>
    <t>Inserting more than 3 pieces may increase lead time</t>
  </si>
  <si>
    <t>Coatings/high gloss can have an effect on turnaround for large quantities- due to reduction of ink-jet run rates</t>
  </si>
  <si>
    <t>Turn around for a job requiring hand work may be different</t>
  </si>
  <si>
    <t>List and dummies ahead of time with accurate notice of matierals delivery may reduce turnaround by 1 day.</t>
  </si>
  <si>
    <t>Postal preparation of file and return to SPC for variable printing</t>
  </si>
  <si>
    <t>1-2 days</t>
  </si>
  <si>
    <t>Merge and print letter -insert,  2 way match</t>
  </si>
  <si>
    <t>Merge and print letter and card - insert, 3 way match</t>
  </si>
  <si>
    <t>2 days</t>
  </si>
  <si>
    <t>Address and Machine Insert variable letter prepared by SPC,  2 way match</t>
  </si>
  <si>
    <t>Gary Henricksen</t>
  </si>
  <si>
    <t>garyh@mailritevt.com</t>
  </si>
  <si>
    <t>Includes standard postal work, NCOA, and dedupes for small jobs</t>
  </si>
  <si>
    <t>4.25 x 5.5</t>
  </si>
  <si>
    <t>5.5 x 8.5</t>
  </si>
  <si>
    <t>3.5 x 5.5</t>
  </si>
  <si>
    <t>3.5 x 6</t>
  </si>
  <si>
    <t>3.5 x 8</t>
  </si>
  <si>
    <t>3.5 x 8.5</t>
  </si>
  <si>
    <t>3.67 x 8.5</t>
  </si>
  <si>
    <t>4 x 5.5</t>
  </si>
  <si>
    <t>4 x 6</t>
  </si>
  <si>
    <t>4.25 x 6</t>
  </si>
  <si>
    <t>4.625 x 6.25</t>
  </si>
  <si>
    <t>4 x 8</t>
  </si>
  <si>
    <t>4 x 9</t>
  </si>
  <si>
    <t>5 x 7</t>
  </si>
  <si>
    <t>5.5 x 7.5</t>
  </si>
  <si>
    <t>5.75 x 11</t>
  </si>
  <si>
    <t>5.75 x 18</t>
  </si>
  <si>
    <t>6 x 10</t>
  </si>
  <si>
    <t>6 x 10.5</t>
  </si>
  <si>
    <t>6 x 11</t>
  </si>
  <si>
    <t>6 x 18</t>
  </si>
  <si>
    <t>6 x 8</t>
  </si>
  <si>
    <t>6 x 8.5</t>
  </si>
  <si>
    <t>6 x 9</t>
  </si>
  <si>
    <t>6.25 x 10</t>
  </si>
  <si>
    <t>6.625 x 10</t>
  </si>
  <si>
    <t>7 x 8.5</t>
  </si>
  <si>
    <t>7.5 x 8.5</t>
  </si>
  <si>
    <t>7.75 x 8.5</t>
  </si>
  <si>
    <t>8 x 10</t>
  </si>
  <si>
    <t>8.5 x 11</t>
  </si>
  <si>
    <t>8.5 x 14</t>
  </si>
  <si>
    <t>Five Maples Standard Turn Around Times</t>
  </si>
  <si>
    <t>Booklets or Self Mailers with 2 or 3 passes</t>
  </si>
  <si>
    <t>Self Mailers with 1 pass</t>
  </si>
  <si>
    <t xml:space="preserve">static fold &amp; insert into #10 </t>
  </si>
  <si>
    <t>static fold &amp; insert into 6x9</t>
  </si>
  <si>
    <t xml:space="preserve">static flat insert into 9x12 </t>
  </si>
  <si>
    <t>Address buckslip or letter &amp; insert into window, no match</t>
  </si>
  <si>
    <t>Merge &amp; insert into window</t>
  </si>
  <si>
    <t>Merge &amp; insert, 2 way match, 3 inserts</t>
  </si>
  <si>
    <t>Merge &amp; insert, 3 way match, 4 inserts</t>
  </si>
  <si>
    <t>See Lettershop Manager about Handwork</t>
  </si>
  <si>
    <t>Black</t>
  </si>
  <si>
    <t>Color</t>
  </si>
  <si>
    <t>Simplex</t>
  </si>
  <si>
    <t>Duplex</t>
  </si>
  <si>
    <t>Thin Stock</t>
  </si>
  <si>
    <t>Thick Stock</t>
  </si>
  <si>
    <t>Color vs. Mono</t>
  </si>
  <si>
    <t>Single vs. Double Side</t>
  </si>
  <si>
    <t>Stock Weight</t>
  </si>
  <si>
    <t>&gt;150,000</t>
  </si>
  <si>
    <t>Bleeds</t>
  </si>
  <si>
    <t>Factor</t>
  </si>
  <si>
    <t>1/6 sheet</t>
  </si>
  <si>
    <t>1/2 sheet</t>
  </si>
  <si>
    <t>Full sheet</t>
  </si>
  <si>
    <t>Yes</t>
  </si>
  <si>
    <t>No</t>
  </si>
  <si>
    <t>&lt;5 x 7</t>
  </si>
  <si>
    <t>&gt;5 x 7</t>
  </si>
  <si>
    <t>Bleeds Yes</t>
  </si>
  <si>
    <t>Multipliers</t>
  </si>
  <si>
    <t>NOTES:</t>
  </si>
  <si>
    <t>If client-supplied stock, indicate 1/6, 1/2 or full sheet in Print Size</t>
  </si>
  <si>
    <t>If postcard is larger than 5 x 7" assume 4 up on average</t>
  </si>
  <si>
    <t>If postcard is smaller than 5 x 7" assume 9 up on average</t>
  </si>
  <si>
    <t>Bleeds No</t>
  </si>
  <si>
    <t>Base Print Rate</t>
  </si>
  <si>
    <t>per minute</t>
  </si>
  <si>
    <t>per hour</t>
  </si>
  <si>
    <t>Print Rate:</t>
  </si>
  <si>
    <t>Days</t>
  </si>
  <si>
    <t>Finished Product Size</t>
  </si>
  <si>
    <t>Machine overlap factor:</t>
  </si>
  <si>
    <t>Text</t>
  </si>
  <si>
    <t>Cover</t>
  </si>
  <si>
    <t>3.5 x 5.5 w/ bleeds</t>
  </si>
  <si>
    <t>3.5 x 6 with bleeds</t>
  </si>
  <si>
    <t>3.5 x 8 with bleeds</t>
  </si>
  <si>
    <t>3.5 x 8.5 with bleeds</t>
  </si>
  <si>
    <t>3.67 x 8.5 with bleeds</t>
  </si>
  <si>
    <t>4 x 5.5 with bleeds</t>
  </si>
  <si>
    <t>4 x 6 with bleeds</t>
  </si>
  <si>
    <t>4.25 x 5.5 with bleeds</t>
  </si>
  <si>
    <t>4.25 x 6 with bleeds</t>
  </si>
  <si>
    <t>4.625 x 6.25 with bleeds</t>
  </si>
  <si>
    <t>4 x 8 with bleeds</t>
  </si>
  <si>
    <t>4 x 9 with bleeds</t>
  </si>
  <si>
    <t>5 x 7 with bleeds</t>
  </si>
  <si>
    <t>5.5 x 7.5 with bleeds</t>
  </si>
  <si>
    <t>5.5 x 8.5 with bleeds</t>
  </si>
  <si>
    <t>5.75 x 11 with bleeds</t>
  </si>
  <si>
    <t>5.75 x 18 with bleeds</t>
  </si>
  <si>
    <t>6 x 10 with bleeds</t>
  </si>
  <si>
    <t>6 x 10.5 with bleeds</t>
  </si>
  <si>
    <t>6 x 11 with bleeds</t>
  </si>
  <si>
    <t>6 x 18 with bleeds</t>
  </si>
  <si>
    <t>6 x 8 with bleeds</t>
  </si>
  <si>
    <t>6 x 8.5 with bleeds</t>
  </si>
  <si>
    <t>6 x 9 with bleeds</t>
  </si>
  <si>
    <t>6.25 x 9.25 with bleeds</t>
  </si>
  <si>
    <t>6.625 x 9.25 with bleeds</t>
  </si>
  <si>
    <t>7 x 8.5 with bleeds</t>
  </si>
  <si>
    <t>7.5 x 8.5 with bleeds</t>
  </si>
  <si>
    <t>7.75 x 8.5 with bleeds</t>
  </si>
  <si>
    <t>8 x 10 with bleeds</t>
  </si>
  <si>
    <t>8.5 x 11 with 3.5" perf</t>
  </si>
  <si>
    <t>8.5 x 11 12 page booklet</t>
  </si>
  <si>
    <t>8.5 x 11 12 page booklet with bleeds</t>
  </si>
  <si>
    <t>8.5 x 11 8 page booklet</t>
  </si>
  <si>
    <t>8.5 x 11 8 page booklet with bleeds</t>
  </si>
  <si>
    <t>8.5 x 11 with bleeds</t>
  </si>
  <si>
    <t>8.5 x 14 with bleeds</t>
  </si>
  <si>
    <t>8.5 x 14 with 3.5" perf</t>
  </si>
  <si>
    <t>11 x 17</t>
  </si>
  <si>
    <t>11 x 17 with bleeds</t>
  </si>
  <si>
    <t>Second Piece</t>
  </si>
  <si>
    <t>First Piece</t>
  </si>
  <si>
    <t>Print Days</t>
  </si>
  <si>
    <t>L:\FIVEMAPLES\Procedures and Training\Procedures - Project Management\Turn Around Times_Final.xlsx</t>
  </si>
  <si>
    <t>Days turnaround indicated by color</t>
  </si>
  <si>
    <t>Finished Product Size*</t>
  </si>
  <si>
    <t>Finished Product Size Key</t>
  </si>
  <si>
    <t>Days based time extended by:</t>
  </si>
  <si>
    <t>Busy season: base time temporarily extended by x days:</t>
  </si>
  <si>
    <t>BASE TIMES CHART (HIDDEN)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</si>
</sst>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&quot;$&quot;#,##0"/>
    <numFmt numFmtId="166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DD1E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5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4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>
      <alignment wrapText="1"/>
    </xf>
    <xf numFmtId="0" fontId="0" fillId="0" borderId="0" xfId="0" applyBorder="1"/>
    <xf numFmtId="0" fontId="1" fillId="0" borderId="0" xfId="0" applyFont="1"/>
    <xf numFmtId="0" fontId="0" fillId="0" borderId="4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5" borderId="4" xfId="0" applyNumberFormat="1" applyFill="1" applyBorder="1" applyAlignment="1">
      <alignment horizontal="center"/>
    </xf>
    <xf numFmtId="164" fontId="0" fillId="4" borderId="0" xfId="0" applyNumberFormat="1" applyFill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0" xfId="0" applyFill="1"/>
    <xf numFmtId="0" fontId="0" fillId="0" borderId="0" xfId="0" applyFill="1"/>
    <xf numFmtId="164" fontId="0" fillId="3" borderId="4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1" fillId="3" borderId="8" xfId="0" applyNumberFormat="1" applyFon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0" fillId="4" borderId="13" xfId="0" applyNumberFormat="1" applyFill="1" applyBorder="1" applyAlignment="1">
      <alignment horizontal="center"/>
    </xf>
    <xf numFmtId="164" fontId="0" fillId="4" borderId="10" xfId="0" applyNumberFormat="1" applyFill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1" fillId="3" borderId="10" xfId="0" applyNumberFormat="1" applyFont="1" applyFill="1" applyBorder="1" applyAlignment="1">
      <alignment horizontal="center"/>
    </xf>
    <xf numFmtId="164" fontId="0" fillId="4" borderId="14" xfId="0" applyNumberFormat="1" applyFill="1" applyBorder="1" applyAlignment="1">
      <alignment horizontal="center"/>
    </xf>
    <xf numFmtId="164" fontId="0" fillId="3" borderId="14" xfId="0" applyNumberFormat="1" applyFill="1" applyBorder="1" applyAlignment="1">
      <alignment horizontal="center"/>
    </xf>
    <xf numFmtId="164" fontId="0" fillId="3" borderId="10" xfId="0" applyNumberFormat="1" applyFill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4" borderId="15" xfId="0" applyNumberFormat="1" applyFill="1" applyBorder="1" applyAlignment="1">
      <alignment horizontal="center"/>
    </xf>
    <xf numFmtId="164" fontId="1" fillId="3" borderId="12" xfId="0" applyNumberFormat="1" applyFont="1" applyFill="1" applyBorder="1" applyAlignment="1">
      <alignment horizontal="center"/>
    </xf>
    <xf numFmtId="164" fontId="0" fillId="5" borderId="13" xfId="0" applyNumberForma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64" fontId="1" fillId="3" borderId="16" xfId="0" applyNumberFormat="1" applyFont="1" applyFill="1" applyBorder="1" applyAlignment="1">
      <alignment horizontal="center"/>
    </xf>
    <xf numFmtId="164" fontId="0" fillId="4" borderId="18" xfId="0" applyNumberFormat="1" applyFill="1" applyBorder="1" applyAlignment="1">
      <alignment horizontal="center"/>
    </xf>
    <xf numFmtId="164" fontId="1" fillId="3" borderId="17" xfId="0" applyNumberFormat="1" applyFont="1" applyFill="1" applyBorder="1" applyAlignment="1">
      <alignment horizontal="center"/>
    </xf>
    <xf numFmtId="164" fontId="0" fillId="2" borderId="15" xfId="0" applyNumberFormat="1" applyFill="1" applyBorder="1" applyAlignment="1">
      <alignment horizontal="center"/>
    </xf>
    <xf numFmtId="0" fontId="0" fillId="0" borderId="8" xfId="0" applyBorder="1"/>
    <xf numFmtId="14" fontId="0" fillId="0" borderId="0" xfId="0" applyNumberFormat="1"/>
    <xf numFmtId="0" fontId="2" fillId="0" borderId="0" xfId="1" applyAlignment="1" applyProtection="1"/>
    <xf numFmtId="0" fontId="0" fillId="0" borderId="1" xfId="0" applyBorder="1" applyAlignment="1">
      <alignment horizontal="center" wrapText="1"/>
    </xf>
    <xf numFmtId="0" fontId="3" fillId="2" borderId="0" xfId="0" applyFont="1" applyFill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2" xfId="0" applyBorder="1"/>
    <xf numFmtId="164" fontId="0" fillId="0" borderId="24" xfId="0" applyNumberFormat="1" applyFill="1" applyBorder="1" applyAlignment="1">
      <alignment horizontal="center"/>
    </xf>
    <xf numFmtId="0" fontId="0" fillId="0" borderId="25" xfId="0" applyBorder="1"/>
    <xf numFmtId="164" fontId="0" fillId="0" borderId="27" xfId="0" applyNumberFormat="1" applyFill="1" applyBorder="1" applyAlignment="1">
      <alignment horizontal="center"/>
    </xf>
    <xf numFmtId="0" fontId="0" fillId="0" borderId="22" xfId="0" applyBorder="1" applyAlignment="1">
      <alignment wrapText="1"/>
    </xf>
    <xf numFmtId="0" fontId="0" fillId="0" borderId="25" xfId="0" applyBorder="1" applyAlignment="1">
      <alignment wrapText="1"/>
    </xf>
    <xf numFmtId="0" fontId="0" fillId="0" borderId="1" xfId="0" applyBorder="1" applyAlignment="1">
      <alignment horizontal="right"/>
    </xf>
    <xf numFmtId="0" fontId="0" fillId="0" borderId="13" xfId="0" applyBorder="1" applyAlignment="1">
      <alignment horizontal="center"/>
    </xf>
    <xf numFmtId="164" fontId="0" fillId="0" borderId="23" xfId="0" applyNumberFormat="1" applyFill="1" applyBorder="1" applyAlignment="1">
      <alignment horizontal="center"/>
    </xf>
    <xf numFmtId="164" fontId="0" fillId="0" borderId="26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6" fillId="0" borderId="0" xfId="11" applyFont="1" applyFill="1" applyBorder="1" applyAlignment="1" applyProtection="1">
      <alignment horizontal="right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/>
    <xf numFmtId="1" fontId="0" fillId="0" borderId="0" xfId="0" applyNumberFormat="1" applyFill="1" applyBorder="1"/>
    <xf numFmtId="9" fontId="0" fillId="0" borderId="0" xfId="0" applyNumberFormat="1" applyFill="1" applyBorder="1" applyAlignment="1">
      <alignment horizontal="center"/>
    </xf>
    <xf numFmtId="3" fontId="0" fillId="0" borderId="0" xfId="0" applyNumberFormat="1" applyFill="1" applyBorder="1"/>
    <xf numFmtId="165" fontId="0" fillId="0" borderId="0" xfId="0" applyNumberFormat="1" applyFill="1" applyBorder="1"/>
    <xf numFmtId="0" fontId="5" fillId="0" borderId="0" xfId="11" applyFill="1" applyBorder="1" applyAlignment="1" applyProtection="1">
      <alignment horizontal="right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28" xfId="0" applyBorder="1" applyAlignment="1">
      <alignment horizontal="center" wrapText="1"/>
    </xf>
    <xf numFmtId="0" fontId="0" fillId="6" borderId="2" xfId="0" applyFill="1" applyBorder="1"/>
    <xf numFmtId="1" fontId="0" fillId="0" borderId="1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6" fillId="0" borderId="0" xfId="2" applyFont="1" applyFill="1" applyBorder="1" applyAlignment="1" applyProtection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/>
    <xf numFmtId="0" fontId="0" fillId="0" borderId="0" xfId="0" applyAlignment="1">
      <alignment horizontal="center" vertical="center"/>
    </xf>
    <xf numFmtId="166" fontId="0" fillId="0" borderId="5" xfId="14" applyNumberFormat="1" applyFont="1" applyBorder="1"/>
    <xf numFmtId="166" fontId="0" fillId="0" borderId="6" xfId="14" applyNumberFormat="1" applyFont="1" applyBorder="1"/>
    <xf numFmtId="166" fontId="0" fillId="0" borderId="5" xfId="14" applyNumberFormat="1" applyFont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left" wrapText="1"/>
    </xf>
    <xf numFmtId="0" fontId="6" fillId="0" borderId="0" xfId="11" applyFont="1" applyFill="1" applyBorder="1" applyAlignment="1" applyProtection="1">
      <alignment horizontal="center"/>
    </xf>
    <xf numFmtId="2" fontId="0" fillId="0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Fill="1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7" borderId="0" xfId="0" applyFill="1" applyBorder="1"/>
    <xf numFmtId="0" fontId="0" fillId="8" borderId="0" xfId="0" applyFill="1" applyBorder="1"/>
    <xf numFmtId="0" fontId="0" fillId="0" borderId="0" xfId="0" applyAlignment="1">
      <alignment horizontal="left"/>
    </xf>
    <xf numFmtId="0" fontId="6" fillId="7" borderId="0" xfId="0" applyFont="1" applyFill="1" applyBorder="1" applyAlignment="1" applyProtection="1">
      <alignment horizontal="left"/>
    </xf>
    <xf numFmtId="0" fontId="6" fillId="8" borderId="0" xfId="0" applyFont="1" applyFill="1" applyBorder="1" applyAlignment="1" applyProtection="1">
      <alignment horizontal="left"/>
    </xf>
    <xf numFmtId="164" fontId="0" fillId="0" borderId="0" xfId="0" applyNumberFormat="1" applyFill="1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6" fillId="4" borderId="0" xfId="0" applyFont="1" applyFill="1" applyBorder="1" applyAlignment="1" applyProtection="1">
      <alignment horizontal="left"/>
    </xf>
    <xf numFmtId="0" fontId="0" fillId="4" borderId="0" xfId="0" applyFill="1" applyBorder="1"/>
    <xf numFmtId="0" fontId="0" fillId="0" borderId="30" xfId="0" applyFont="1" applyFill="1" applyBorder="1"/>
    <xf numFmtId="0" fontId="0" fillId="0" borderId="20" xfId="0" applyFill="1" applyBorder="1"/>
    <xf numFmtId="0" fontId="0" fillId="0" borderId="32" xfId="0" applyBorder="1"/>
    <xf numFmtId="0" fontId="0" fillId="0" borderId="32" xfId="0" applyFill="1" applyBorder="1"/>
    <xf numFmtId="0" fontId="0" fillId="0" borderId="33" xfId="0" applyFill="1" applyBorder="1"/>
    <xf numFmtId="0" fontId="0" fillId="0" borderId="18" xfId="0" applyBorder="1"/>
    <xf numFmtId="0" fontId="0" fillId="0" borderId="18" xfId="0" applyFill="1" applyBorder="1"/>
    <xf numFmtId="0" fontId="0" fillId="0" borderId="34" xfId="0" applyFill="1" applyBorder="1"/>
    <xf numFmtId="0" fontId="0" fillId="0" borderId="30" xfId="0" applyBorder="1"/>
    <xf numFmtId="0" fontId="0" fillId="0" borderId="20" xfId="0" applyFill="1" applyBorder="1" applyAlignment="1">
      <alignment horizontal="center"/>
    </xf>
    <xf numFmtId="0" fontId="0" fillId="0" borderId="20" xfId="0" applyBorder="1"/>
    <xf numFmtId="0" fontId="0" fillId="0" borderId="20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33" xfId="0" applyBorder="1"/>
    <xf numFmtId="0" fontId="11" fillId="0" borderId="29" xfId="0" applyFont="1" applyBorder="1" applyAlignment="1">
      <alignment horizontal="right"/>
    </xf>
    <xf numFmtId="0" fontId="0" fillId="6" borderId="3" xfId="0" applyFill="1" applyBorder="1"/>
    <xf numFmtId="0" fontId="1" fillId="6" borderId="3" xfId="0" applyFont="1" applyFill="1" applyBorder="1"/>
    <xf numFmtId="0" fontId="0" fillId="6" borderId="5" xfId="0" applyFill="1" applyBorder="1"/>
    <xf numFmtId="0" fontId="0" fillId="0" borderId="5" xfId="0" applyBorder="1" applyAlignment="1">
      <alignment horizontal="center" wrapText="1"/>
    </xf>
    <xf numFmtId="0" fontId="0" fillId="0" borderId="0" xfId="0" applyFill="1" applyBorder="1" applyAlignment="1">
      <alignment horizontal="center"/>
    </xf>
    <xf numFmtId="0" fontId="6" fillId="0" borderId="0" xfId="2" applyFont="1" applyFill="1" applyBorder="1" applyAlignment="1" applyProtection="1">
      <alignment horizontal="center"/>
    </xf>
    <xf numFmtId="0" fontId="0" fillId="0" borderId="30" xfId="0" applyFill="1" applyBorder="1" applyAlignment="1">
      <alignment horizontal="center"/>
    </xf>
    <xf numFmtId="164" fontId="0" fillId="0" borderId="30" xfId="0" applyNumberFormat="1" applyFill="1" applyBorder="1" applyAlignment="1">
      <alignment horizontal="center"/>
    </xf>
    <xf numFmtId="0" fontId="0" fillId="0" borderId="30" xfId="0" applyFill="1" applyBorder="1" applyAlignment="1">
      <alignment horizontal="center" wrapText="1"/>
    </xf>
    <xf numFmtId="0" fontId="0" fillId="0" borderId="30" xfId="0" applyFill="1" applyBorder="1" applyAlignment="1">
      <alignment wrapText="1"/>
    </xf>
    <xf numFmtId="164" fontId="0" fillId="0" borderId="31" xfId="0" applyNumberFormat="1" applyFill="1" applyBorder="1" applyAlignment="1">
      <alignment horizontal="center"/>
    </xf>
    <xf numFmtId="0" fontId="0" fillId="0" borderId="36" xfId="0" applyBorder="1" applyAlignment="1">
      <alignment horizontal="center" wrapText="1"/>
    </xf>
    <xf numFmtId="0" fontId="0" fillId="0" borderId="37" xfId="0" applyBorder="1" applyAlignment="1">
      <alignment horizontal="right"/>
    </xf>
    <xf numFmtId="0" fontId="0" fillId="0" borderId="36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/>
    <xf numFmtId="166" fontId="0" fillId="0" borderId="37" xfId="14" applyNumberFormat="1" applyFont="1" applyBorder="1"/>
    <xf numFmtId="0" fontId="0" fillId="0" borderId="0" xfId="0" applyBorder="1" applyAlignment="1">
      <alignment horizontal="center" vertical="center"/>
    </xf>
    <xf numFmtId="1" fontId="0" fillId="0" borderId="40" xfId="0" applyNumberFormat="1" applyFill="1" applyBorder="1" applyAlignment="1">
      <alignment horizontal="center"/>
    </xf>
    <xf numFmtId="166" fontId="0" fillId="0" borderId="38" xfId="14" applyNumberFormat="1" applyFont="1" applyBorder="1"/>
    <xf numFmtId="166" fontId="0" fillId="0" borderId="41" xfId="14" applyNumberFormat="1" applyFont="1" applyBorder="1" applyAlignment="1">
      <alignment horizontal="right"/>
    </xf>
    <xf numFmtId="0" fontId="0" fillId="0" borderId="18" xfId="0" applyBorder="1" applyAlignment="1">
      <alignment horizontal="center" vertical="center"/>
    </xf>
    <xf numFmtId="1" fontId="0" fillId="0" borderId="12" xfId="0" applyNumberFormat="1" applyFill="1" applyBorder="1" applyAlignment="1">
      <alignment horizontal="center"/>
    </xf>
    <xf numFmtId="1" fontId="0" fillId="0" borderId="42" xfId="0" applyNumberForma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35" xfId="0" applyFont="1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1" fillId="0" borderId="45" xfId="0" applyFont="1" applyBorder="1" applyAlignment="1">
      <alignment horizontal="right"/>
    </xf>
    <xf numFmtId="0" fontId="1" fillId="0" borderId="29" xfId="0" applyFont="1" applyFill="1" applyBorder="1" applyAlignment="1">
      <alignment horizontal="left"/>
    </xf>
    <xf numFmtId="0" fontId="0" fillId="0" borderId="0" xfId="0" applyFill="1" applyBorder="1" applyAlignment="1">
      <alignment horizontal="center" wrapText="1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6" fillId="0" borderId="0" xfId="2" applyFont="1" applyFill="1" applyBorder="1" applyAlignment="1" applyProtection="1">
      <alignment horizontal="center"/>
    </xf>
    <xf numFmtId="0" fontId="6" fillId="0" borderId="21" xfId="2" applyFont="1" applyFill="1" applyBorder="1" applyAlignment="1" applyProtection="1">
      <alignment horizontal="center"/>
    </xf>
    <xf numFmtId="0" fontId="0" fillId="0" borderId="11" xfId="0" applyBorder="1" applyAlignment="1">
      <alignment horizontal="center"/>
    </xf>
    <xf numFmtId="0" fontId="6" fillId="0" borderId="19" xfId="2" applyFont="1" applyFill="1" applyBorder="1" applyAlignment="1" applyProtection="1">
      <alignment horizontal="center"/>
    </xf>
    <xf numFmtId="0" fontId="0" fillId="5" borderId="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5">
    <cellStyle name="Comma" xfId="14" builtinId="3"/>
    <cellStyle name="Comma 2" xfId="3"/>
    <cellStyle name="Currency 2" xfId="8"/>
    <cellStyle name="Currency 3" xfId="13"/>
    <cellStyle name="Currency 4" xfId="4"/>
    <cellStyle name="Hyperlink" xfId="1" builtinId="8"/>
    <cellStyle name="Hyperlink 2" xfId="6"/>
    <cellStyle name="Normal" xfId="0" builtinId="0"/>
    <cellStyle name="Normal 2" xfId="7"/>
    <cellStyle name="Normal 3" xfId="11"/>
    <cellStyle name="Normal 4" xfId="12"/>
    <cellStyle name="Normal 5" xfId="2"/>
    <cellStyle name="Percent 2" xfId="9"/>
    <cellStyle name="Percent 3" xfId="10"/>
    <cellStyle name="Percent 4" xfId="5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8696B"/>
      <color rgb="FFFA8A72"/>
      <color rgb="FFFCAA78"/>
      <color rgb="FFFECB7E"/>
      <color rgb="FFFFEB84"/>
      <color rgb="FFFFD5B4"/>
      <color rgb="FFB1D47F"/>
      <color rgb="FF63BE7B"/>
      <color rgb="FFFDD1E8"/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E$43" lockText="1" noThreeD="1"/>
</file>

<file path=xl/ctrlProps/ctrlProp2.xml><?xml version="1.0" encoding="utf-8"?>
<formControlPr xmlns="http://schemas.microsoft.com/office/spreadsheetml/2009/9/main" objectType="CheckBox" fmlaLink="$E$44" lockText="1" noThreeD="1"/>
</file>

<file path=xl/ctrlProps/ctrlProp3.xml><?xml version="1.0" encoding="utf-8"?>
<formControlPr xmlns="http://schemas.microsoft.com/office/spreadsheetml/2009/9/main" objectType="CheckBox" fmlaLink="$E$45" lockText="1" noThreeD="1"/>
</file>

<file path=xl/ctrlProps/ctrlProp4.xml><?xml version="1.0" encoding="utf-8"?>
<formControlPr xmlns="http://schemas.microsoft.com/office/spreadsheetml/2009/9/main" objectType="CheckBox" fmlaLink="$E$46" lockText="1" noThreeD="1"/>
</file>

<file path=xl/ctrlProps/ctrlProp5.xml><?xml version="1.0" encoding="utf-8"?>
<formControlPr xmlns="http://schemas.microsoft.com/office/spreadsheetml/2009/9/main" objectType="CheckBox" fmlaLink="$E$47" lockText="1" noThreeD="1"/>
</file>

<file path=xl/ctrlProps/ctrlProp6.xml><?xml version="1.0" encoding="utf-8"?>
<formControlPr xmlns="http://schemas.microsoft.com/office/spreadsheetml/2009/9/main" objectType="CheckBox" fmlaLink="$E$48" lockText="1" noThreeD="1"/>
</file>

<file path=xl/ctrlProps/ctrlProp7.xml><?xml version="1.0" encoding="utf-8"?>
<formControlPr xmlns="http://schemas.microsoft.com/office/spreadsheetml/2009/9/main" objectType="CheckBox" fmlaLink="$E$49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fmlaLink="$E$52" lockText="1" noThreeD="1"/>
</file>

<file path=xl/ctrlProps/ctrlProp10.xml><?xml version="1.0" encoding="utf-8"?>
<formControlPr xmlns="http://schemas.microsoft.com/office/spreadsheetml/2009/9/main" objectType="CheckBox" fmlaLink="$E$53" lockText="1" noThreeD="1"/>
</file>

<file path=xl/ctrlProps/ctrlProp11.xml><?xml version="1.0" encoding="utf-8"?>
<formControlPr xmlns="http://schemas.microsoft.com/office/spreadsheetml/2009/9/main" objectType="CheckBox" fmlaLink="$E$50" lockText="1" noThreeD="1"/>
</file>

<file path=xl/ctrlProps/ctrlProp12.xml><?xml version="1.0" encoding="utf-8"?>
<formControlPr xmlns="http://schemas.microsoft.com/office/spreadsheetml/2009/9/main" objectType="CheckBox" fmlaLink="$E$51" lockText="1" noThreeD="1"/>
</file>

<file path=xl/ctrlProps/ctrlProp13.xml><?xml version="1.0" encoding="utf-8"?>
<formControlPr xmlns="http://schemas.microsoft.com/office/spreadsheetml/2009/9/main" objectType="CheckBox" fmlaLink="$E$54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fmlaLink="$E$55" lockText="1" noThreeD="1"/>
</file>

<file path=xl/ctrlProps/ctrlProp16.xml><?xml version="1.0" encoding="utf-8"?>
<formControlPr xmlns="http://schemas.microsoft.com/office/spreadsheetml/2009/9/main" objectType="CheckBox" fmlaLink="$E$63" lockText="1" noThreeD="1"/>
</file>

<file path=xl/ctrlProps/ctrlProp17.xml><?xml version="1.0" encoding="utf-8"?>
<formControlPr xmlns="http://schemas.microsoft.com/office/spreadsheetml/2009/9/main" objectType="CheckBox" fmlaLink="$E$64" lockText="1" noThreeD="1"/>
</file>

<file path=xl/ctrlProps/ctrlProp18.xml><?xml version="1.0" encoding="utf-8"?>
<formControlPr xmlns="http://schemas.microsoft.com/office/spreadsheetml/2009/9/main" objectType="CheckBox" fmlaLink="$E$65" lockText="1" noThreeD="1"/>
</file>

<file path=xl/ctrlProps/ctrlProp19.xml><?xml version="1.0" encoding="utf-8"?>
<formControlPr xmlns="http://schemas.microsoft.com/office/spreadsheetml/2009/9/main" objectType="CheckBox" fmlaLink="$E$66" lockText="1" noThreeD="1"/>
</file>

<file path=xl/ctrlProps/ctrlProp20.xml><?xml version="1.0" encoding="utf-8"?>
<formControlPr xmlns="http://schemas.microsoft.com/office/spreadsheetml/2009/9/main" objectType="CheckBox" fmlaLink="$E$67" lockText="1" noThreeD="1"/>
</file>

<file path=xl/ctrlProps/ctrlProp21.xml><?xml version="1.0" encoding="utf-8"?>
<formControlPr xmlns="http://schemas.microsoft.com/office/spreadsheetml/2009/9/main" objectType="CheckBox" fmlaLink="$E$68" lockText="1" noThreeD="1"/>
</file>

<file path=xl/ctrlProps/ctrlProp22.xml><?xml version="1.0" encoding="utf-8"?>
<formControlPr xmlns="http://schemas.microsoft.com/office/spreadsheetml/2009/9/main" objectType="CheckBox" fmlaLink="$E$69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fmlaLink="$E$72" lockText="1" noThreeD="1"/>
</file>

<file path=xl/ctrlProps/ctrlProp25.xml><?xml version="1.0" encoding="utf-8"?>
<formControlPr xmlns="http://schemas.microsoft.com/office/spreadsheetml/2009/9/main" objectType="CheckBox" fmlaLink="$E$73" lockText="1" noThreeD="1"/>
</file>

<file path=xl/ctrlProps/ctrlProp26.xml><?xml version="1.0" encoding="utf-8"?>
<formControlPr xmlns="http://schemas.microsoft.com/office/spreadsheetml/2009/9/main" objectType="CheckBox" fmlaLink="$E$70" lockText="1" noThreeD="1"/>
</file>

<file path=xl/ctrlProps/ctrlProp27.xml><?xml version="1.0" encoding="utf-8"?>
<formControlPr xmlns="http://schemas.microsoft.com/office/spreadsheetml/2009/9/main" objectType="CheckBox" fmlaLink="$E$71" lockText="1" noThreeD="1"/>
</file>

<file path=xl/ctrlProps/ctrlProp28.xml><?xml version="1.0" encoding="utf-8"?>
<formControlPr xmlns="http://schemas.microsoft.com/office/spreadsheetml/2009/9/main" objectType="CheckBox" fmlaLink="$E$74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fmlaLink="$E$75" lockText="1" noThreeD="1"/>
</file>

<file path=xl/ctrlProps/ctrlProp31.xml><?xml version="1.0" encoding="utf-8"?>
<formControlPr xmlns="http://schemas.microsoft.com/office/spreadsheetml/2009/9/main" objectType="CheckBox" fmlaLink="$C$60" lockText="1" noThreeD="1"/>
</file>

<file path=xl/ctrlProps/ctrlProp32.xml><?xml version="1.0" encoding="utf-8"?>
<formControlPr xmlns="http://schemas.microsoft.com/office/spreadsheetml/2009/9/main" objectType="CheckBox" fmlaLink="$C$40" lockText="1" noThreeD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0</xdr:rowOff>
        </xdr:from>
        <xdr:to>
          <xdr:col>3</xdr:col>
          <xdr:colOff>819150</xdr:colOff>
          <xdr:row>27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27</xdr:row>
          <xdr:rowOff>0</xdr:rowOff>
        </xdr:from>
        <xdr:to>
          <xdr:col>3</xdr:col>
          <xdr:colOff>819150</xdr:colOff>
          <xdr:row>28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26</xdr:row>
          <xdr:rowOff>0</xdr:rowOff>
        </xdr:from>
        <xdr:to>
          <xdr:col>5</xdr:col>
          <xdr:colOff>819150</xdr:colOff>
          <xdr:row>27</xdr:row>
          <xdr:rowOff>19050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27</xdr:row>
          <xdr:rowOff>0</xdr:rowOff>
        </xdr:from>
        <xdr:to>
          <xdr:col>5</xdr:col>
          <xdr:colOff>819150</xdr:colOff>
          <xdr:row>28</xdr:row>
          <xdr:rowOff>19050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0</xdr:rowOff>
        </xdr:from>
        <xdr:to>
          <xdr:col>7</xdr:col>
          <xdr:colOff>819150</xdr:colOff>
          <xdr:row>27</xdr:row>
          <xdr:rowOff>19050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0</xdr:rowOff>
        </xdr:from>
        <xdr:to>
          <xdr:col>7</xdr:col>
          <xdr:colOff>819150</xdr:colOff>
          <xdr:row>28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0</xdr:rowOff>
        </xdr:from>
        <xdr:to>
          <xdr:col>9</xdr:col>
          <xdr:colOff>819150</xdr:colOff>
          <xdr:row>27</xdr:row>
          <xdr:rowOff>19050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0</xdr:rowOff>
        </xdr:from>
        <xdr:to>
          <xdr:col>9</xdr:col>
          <xdr:colOff>819150</xdr:colOff>
          <xdr:row>28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29</xdr:row>
          <xdr:rowOff>0</xdr:rowOff>
        </xdr:from>
        <xdr:to>
          <xdr:col>9</xdr:col>
          <xdr:colOff>819150</xdr:colOff>
          <xdr:row>30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30</xdr:row>
          <xdr:rowOff>0</xdr:rowOff>
        </xdr:from>
        <xdr:to>
          <xdr:col>9</xdr:col>
          <xdr:colOff>819150</xdr:colOff>
          <xdr:row>31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27</xdr:row>
          <xdr:rowOff>0</xdr:rowOff>
        </xdr:from>
        <xdr:to>
          <xdr:col>9</xdr:col>
          <xdr:colOff>819150</xdr:colOff>
          <xdr:row>28</xdr:row>
          <xdr:rowOff>19050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0</xdr:rowOff>
        </xdr:from>
        <xdr:to>
          <xdr:col>9</xdr:col>
          <xdr:colOff>819150</xdr:colOff>
          <xdr:row>29</xdr:row>
          <xdr:rowOff>19050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27</xdr:row>
          <xdr:rowOff>0</xdr:rowOff>
        </xdr:from>
        <xdr:to>
          <xdr:col>11</xdr:col>
          <xdr:colOff>819150</xdr:colOff>
          <xdr:row>28</xdr:row>
          <xdr:rowOff>19050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26</xdr:row>
          <xdr:rowOff>0</xdr:rowOff>
        </xdr:from>
        <xdr:to>
          <xdr:col>11</xdr:col>
          <xdr:colOff>819150</xdr:colOff>
          <xdr:row>27</xdr:row>
          <xdr:rowOff>19050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26</xdr:row>
          <xdr:rowOff>0</xdr:rowOff>
        </xdr:from>
        <xdr:to>
          <xdr:col>11</xdr:col>
          <xdr:colOff>819150</xdr:colOff>
          <xdr:row>27</xdr:row>
          <xdr:rowOff>19050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0</xdr:rowOff>
        </xdr:from>
        <xdr:to>
          <xdr:col>3</xdr:col>
          <xdr:colOff>819150</xdr:colOff>
          <xdr:row>34</xdr:row>
          <xdr:rowOff>19050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0</xdr:rowOff>
        </xdr:from>
        <xdr:to>
          <xdr:col>3</xdr:col>
          <xdr:colOff>819150</xdr:colOff>
          <xdr:row>35</xdr:row>
          <xdr:rowOff>19050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33</xdr:row>
          <xdr:rowOff>0</xdr:rowOff>
        </xdr:from>
        <xdr:to>
          <xdr:col>5</xdr:col>
          <xdr:colOff>819150</xdr:colOff>
          <xdr:row>34</xdr:row>
          <xdr:rowOff>19050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0</xdr:rowOff>
        </xdr:from>
        <xdr:to>
          <xdr:col>5</xdr:col>
          <xdr:colOff>819150</xdr:colOff>
          <xdr:row>35</xdr:row>
          <xdr:rowOff>19050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0</xdr:rowOff>
        </xdr:from>
        <xdr:to>
          <xdr:col>7</xdr:col>
          <xdr:colOff>819150</xdr:colOff>
          <xdr:row>34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34</xdr:row>
          <xdr:rowOff>0</xdr:rowOff>
        </xdr:from>
        <xdr:to>
          <xdr:col>7</xdr:col>
          <xdr:colOff>819150</xdr:colOff>
          <xdr:row>35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33</xdr:row>
          <xdr:rowOff>0</xdr:rowOff>
        </xdr:from>
        <xdr:to>
          <xdr:col>9</xdr:col>
          <xdr:colOff>819150</xdr:colOff>
          <xdr:row>34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0</xdr:rowOff>
        </xdr:from>
        <xdr:to>
          <xdr:col>9</xdr:col>
          <xdr:colOff>819150</xdr:colOff>
          <xdr:row>35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36</xdr:row>
          <xdr:rowOff>0</xdr:rowOff>
        </xdr:from>
        <xdr:to>
          <xdr:col>9</xdr:col>
          <xdr:colOff>819150</xdr:colOff>
          <xdr:row>37</xdr:row>
          <xdr:rowOff>19050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37</xdr:row>
          <xdr:rowOff>0</xdr:rowOff>
        </xdr:from>
        <xdr:to>
          <xdr:col>9</xdr:col>
          <xdr:colOff>819150</xdr:colOff>
          <xdr:row>38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0</xdr:rowOff>
        </xdr:from>
        <xdr:to>
          <xdr:col>9</xdr:col>
          <xdr:colOff>819150</xdr:colOff>
          <xdr:row>35</xdr:row>
          <xdr:rowOff>19050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35</xdr:row>
          <xdr:rowOff>0</xdr:rowOff>
        </xdr:from>
        <xdr:to>
          <xdr:col>9</xdr:col>
          <xdr:colOff>819150</xdr:colOff>
          <xdr:row>36</xdr:row>
          <xdr:rowOff>19050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34</xdr:row>
          <xdr:rowOff>0</xdr:rowOff>
        </xdr:from>
        <xdr:to>
          <xdr:col>11</xdr:col>
          <xdr:colOff>819150</xdr:colOff>
          <xdr:row>35</xdr:row>
          <xdr:rowOff>19050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33</xdr:row>
          <xdr:rowOff>0</xdr:rowOff>
        </xdr:from>
        <xdr:to>
          <xdr:col>11</xdr:col>
          <xdr:colOff>819150</xdr:colOff>
          <xdr:row>34</xdr:row>
          <xdr:rowOff>19050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33</xdr:row>
          <xdr:rowOff>0</xdr:rowOff>
        </xdr:from>
        <xdr:to>
          <xdr:col>11</xdr:col>
          <xdr:colOff>819150</xdr:colOff>
          <xdr:row>34</xdr:row>
          <xdr:rowOff>19050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31</xdr:row>
          <xdr:rowOff>180975</xdr:rowOff>
        </xdr:from>
        <xdr:to>
          <xdr:col>2</xdr:col>
          <xdr:colOff>76200</xdr:colOff>
          <xdr:row>33</xdr:row>
          <xdr:rowOff>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1333500</xdr:colOff>
          <xdr:row>24</xdr:row>
          <xdr:rowOff>190500</xdr:rowOff>
        </xdr:from>
        <xdr:to>
          <xdr:col>2</xdr:col>
          <xdr:colOff>66675</xdr:colOff>
          <xdr:row>26</xdr:row>
          <xdr:rowOff>19050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27</xdr:row>
          <xdr:rowOff>57150</xdr:rowOff>
        </xdr:from>
        <xdr:to>
          <xdr:col>0</xdr:col>
          <xdr:colOff>1123950</xdr:colOff>
          <xdr:row>28</xdr:row>
          <xdr:rowOff>180975</xdr:rowOff>
        </xdr:to>
        <xdr:sp macro="" textlink="">
          <xdr:nvSpPr>
            <xdr:cNvPr id="1089" name="Button 65" descr="Clear All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314325</xdr:colOff>
          <xdr:row>34</xdr:row>
          <xdr:rowOff>66675</xdr:rowOff>
        </xdr:from>
        <xdr:to>
          <xdr:col>0</xdr:col>
          <xdr:colOff>1057275</xdr:colOff>
          <xdr:row>36</xdr:row>
          <xdr:rowOff>28575</xdr:rowOff>
        </xdr:to>
        <xdr:sp macro="" textlink="">
          <xdr:nvSpPr>
            <xdr:cNvPr id="1090" name="Button 66" descr="Clear All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garyh@mailritev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P163"/>
  <sheetViews>
    <sheetView tabSelected="1" topLeftCell="A2" workbookViewId="0">
      <pane xSplit="2" ySplit="5" topLeftCell="C7" activePane="bottomRight" state="frozen"/>
      <selection activeCell="A2" sqref="A2"/>
      <selection pane="topRight" activeCell="C2" sqref="C2"/>
      <selection pane="bottomLeft" activeCell="A7" sqref="A7"/>
      <selection pane="bottomRight" activeCell="J3" sqref="J3"/>
    </sheetView>
  </sheetViews>
  <sheetFormatPr defaultRowHeight="15" x14ac:dyDescent="0.25"/>
  <cols>
    <col min="1" max="1" width="20.140625" customWidth="1"/>
    <col min="2" max="2" width="11.85546875" customWidth="1"/>
    <col min="3" max="13" width="13" customWidth="1"/>
    <col min="14" max="14" width="11.7109375" customWidth="1"/>
    <col min="15" max="15" width="21.5703125" customWidth="1"/>
    <col min="16" max="16" width="2.85546875" style="117" customWidth="1"/>
    <col min="17" max="17" width="22" customWidth="1"/>
    <col min="18" max="18" width="4.85546875" customWidth="1"/>
    <col min="19" max="19" width="32.28515625" customWidth="1"/>
    <col min="20" max="20" width="9.5703125" bestFit="1" customWidth="1"/>
    <col min="22" max="22" width="31.7109375" customWidth="1"/>
  </cols>
  <sheetData>
    <row r="1" spans="1:22" ht="15.75" thickBot="1" x14ac:dyDescent="0.3">
      <c r="A1" s="3" t="s">
        <v>69</v>
      </c>
      <c r="B1" s="3"/>
      <c r="F1" s="65" t="s">
        <v>158</v>
      </c>
      <c r="G1" s="29"/>
      <c r="H1" s="29"/>
      <c r="I1" s="29"/>
      <c r="J1" s="29"/>
      <c r="K1" s="29"/>
      <c r="L1" s="29"/>
      <c r="M1" s="29"/>
      <c r="N1" s="2"/>
    </row>
    <row r="2" spans="1:22" ht="15.75" thickBot="1" x14ac:dyDescent="0.3">
      <c r="A2" t="s">
        <v>9</v>
      </c>
      <c r="F2" s="165"/>
      <c r="G2" s="166"/>
      <c r="H2" s="166"/>
      <c r="I2" s="167" t="s">
        <v>163</v>
      </c>
      <c r="J2" s="164">
        <v>0</v>
      </c>
      <c r="N2" s="2"/>
    </row>
    <row r="3" spans="1:22" x14ac:dyDescent="0.25">
      <c r="A3" t="s">
        <v>12</v>
      </c>
      <c r="N3" s="2"/>
      <c r="O3" t="s">
        <v>101</v>
      </c>
    </row>
    <row r="4" spans="1:22" x14ac:dyDescent="0.25">
      <c r="A4" s="3"/>
      <c r="B4" s="3"/>
      <c r="C4" s="114"/>
      <c r="D4" s="174"/>
      <c r="E4" s="174"/>
      <c r="F4" s="114"/>
      <c r="G4" s="114"/>
      <c r="H4" s="114"/>
      <c r="I4" s="114"/>
      <c r="J4" s="23"/>
      <c r="K4" s="2"/>
      <c r="N4" s="2"/>
      <c r="O4" t="s">
        <v>102</v>
      </c>
    </row>
    <row r="5" spans="1:22" x14ac:dyDescent="0.25">
      <c r="B5" s="163" t="s">
        <v>162</v>
      </c>
      <c r="C5" s="114"/>
      <c r="D5" s="114"/>
      <c r="E5" s="114"/>
      <c r="F5" s="114"/>
      <c r="G5" s="114"/>
      <c r="H5" s="114"/>
      <c r="I5" s="114"/>
      <c r="J5" s="23"/>
      <c r="K5" s="2"/>
      <c r="N5" s="2"/>
      <c r="O5" s="105" t="s">
        <v>103</v>
      </c>
    </row>
    <row r="6" spans="1:22" x14ac:dyDescent="0.25">
      <c r="A6" s="3"/>
      <c r="B6" s="3"/>
      <c r="C6" s="94"/>
      <c r="D6" s="139"/>
      <c r="E6" s="139"/>
      <c r="F6" s="139"/>
      <c r="G6" s="140" t="s">
        <v>79</v>
      </c>
      <c r="H6" s="140"/>
      <c r="I6" s="140"/>
      <c r="J6" s="139"/>
      <c r="K6" s="139"/>
      <c r="L6" s="139"/>
      <c r="M6" s="141"/>
      <c r="N6" s="2"/>
      <c r="O6" s="105" t="s">
        <v>104</v>
      </c>
    </row>
    <row r="7" spans="1:22" ht="90" customHeight="1" x14ac:dyDescent="0.3">
      <c r="A7" s="1"/>
      <c r="B7" s="1"/>
      <c r="C7" s="93" t="s">
        <v>0</v>
      </c>
      <c r="D7" s="6" t="s">
        <v>71</v>
      </c>
      <c r="E7" s="6" t="s">
        <v>70</v>
      </c>
      <c r="F7" s="6" t="s">
        <v>4</v>
      </c>
      <c r="G7" s="6" t="s">
        <v>72</v>
      </c>
      <c r="H7" s="6" t="s">
        <v>73</v>
      </c>
      <c r="I7" s="6" t="s">
        <v>74</v>
      </c>
      <c r="J7" s="6" t="s">
        <v>75</v>
      </c>
      <c r="K7" s="6" t="s">
        <v>76</v>
      </c>
      <c r="L7" s="6" t="s">
        <v>77</v>
      </c>
      <c r="M7" s="142" t="s">
        <v>78</v>
      </c>
      <c r="N7" s="90"/>
      <c r="O7" s="173" t="s">
        <v>161</v>
      </c>
      <c r="P7" s="174"/>
      <c r="Q7" s="174"/>
      <c r="R7" s="174"/>
      <c r="S7" s="174"/>
      <c r="U7" s="169"/>
      <c r="V7" s="169"/>
    </row>
    <row r="8" spans="1:22" x14ac:dyDescent="0.25">
      <c r="A8" s="9" t="s">
        <v>5</v>
      </c>
      <c r="B8" s="74"/>
      <c r="C8" s="5">
        <v>10000</v>
      </c>
      <c r="D8" s="5">
        <v>5000</v>
      </c>
      <c r="E8" s="5">
        <v>1250</v>
      </c>
      <c r="F8" s="5">
        <v>3000</v>
      </c>
      <c r="G8" s="5">
        <v>1800</v>
      </c>
      <c r="H8" s="5">
        <v>1500</v>
      </c>
      <c r="I8" s="5">
        <v>800</v>
      </c>
      <c r="J8" s="5">
        <v>1700</v>
      </c>
      <c r="K8" s="5">
        <v>1200</v>
      </c>
      <c r="L8" s="5">
        <v>800</v>
      </c>
      <c r="M8" s="67">
        <v>600</v>
      </c>
      <c r="N8" s="91"/>
      <c r="O8" s="118" t="s">
        <v>39</v>
      </c>
      <c r="Q8" s="122" t="s">
        <v>53</v>
      </c>
      <c r="R8" s="78"/>
      <c r="S8" s="122" t="s">
        <v>145</v>
      </c>
      <c r="U8" s="78"/>
    </row>
    <row r="9" spans="1:22" x14ac:dyDescent="0.25">
      <c r="A9" s="10" t="s">
        <v>7</v>
      </c>
      <c r="B9" s="75" t="s">
        <v>157</v>
      </c>
      <c r="C9" s="172" t="s">
        <v>159</v>
      </c>
      <c r="D9" s="172"/>
      <c r="E9" s="172"/>
      <c r="F9" s="172"/>
      <c r="G9" s="172"/>
      <c r="H9" s="172"/>
      <c r="I9" s="172"/>
      <c r="J9" s="172"/>
      <c r="K9" s="172"/>
      <c r="L9" s="172"/>
      <c r="M9" s="92"/>
      <c r="N9" s="2"/>
      <c r="O9" s="118" t="s">
        <v>115</v>
      </c>
      <c r="Q9" s="122" t="s">
        <v>131</v>
      </c>
      <c r="R9" s="78"/>
      <c r="S9" s="122" t="s">
        <v>146</v>
      </c>
      <c r="U9" s="78"/>
    </row>
    <row r="10" spans="1:22" x14ac:dyDescent="0.25">
      <c r="A10" s="102">
        <v>1000</v>
      </c>
      <c r="B10" s="101">
        <f>IF($C$60=TRUE,CEILING(SUM(C43+C63),8)/8,IF($C$40=TRUE,CEILING(C43,8)/8,0))</f>
        <v>0</v>
      </c>
      <c r="C10" s="95">
        <f>C83+$B10+$J$2</f>
        <v>3</v>
      </c>
      <c r="D10" s="95">
        <f t="shared" ref="D10:M10" si="0">D83+$B10+$J$2</f>
        <v>3</v>
      </c>
      <c r="E10" s="95">
        <f t="shared" si="0"/>
        <v>3</v>
      </c>
      <c r="F10" s="95">
        <f t="shared" si="0"/>
        <v>3</v>
      </c>
      <c r="G10" s="95">
        <f t="shared" si="0"/>
        <v>4</v>
      </c>
      <c r="H10" s="95">
        <f t="shared" si="0"/>
        <v>4</v>
      </c>
      <c r="I10" s="95">
        <f t="shared" si="0"/>
        <v>3</v>
      </c>
      <c r="J10" s="95">
        <f t="shared" si="0"/>
        <v>4</v>
      </c>
      <c r="K10" s="95">
        <f t="shared" si="0"/>
        <v>5</v>
      </c>
      <c r="L10" s="95">
        <f t="shared" si="0"/>
        <v>5</v>
      </c>
      <c r="M10" s="95">
        <f t="shared" si="0"/>
        <v>6</v>
      </c>
      <c r="N10" s="78"/>
      <c r="O10" s="118" t="s">
        <v>40</v>
      </c>
      <c r="Q10" s="119" t="s">
        <v>54</v>
      </c>
      <c r="R10" s="78"/>
      <c r="S10" s="122" t="s">
        <v>147</v>
      </c>
      <c r="U10" s="78"/>
    </row>
    <row r="11" spans="1:22" x14ac:dyDescent="0.25">
      <c r="A11" s="103">
        <v>2500</v>
      </c>
      <c r="B11" s="101">
        <f t="shared" ref="B11:B22" si="1">IF($C$60=TRUE,CEILING(SUM(C44+C64),8)/8,IF($C$40=TRUE,CEILING(C44,8)/8,0))</f>
        <v>0</v>
      </c>
      <c r="C11" s="95">
        <f t="shared" ref="C11:M22" si="2">C84+$B11+$J$2</f>
        <v>3</v>
      </c>
      <c r="D11" s="95">
        <f t="shared" si="2"/>
        <v>3</v>
      </c>
      <c r="E11" s="95">
        <f t="shared" si="2"/>
        <v>3</v>
      </c>
      <c r="F11" s="95">
        <f t="shared" si="2"/>
        <v>3</v>
      </c>
      <c r="G11" s="95">
        <f t="shared" si="2"/>
        <v>4</v>
      </c>
      <c r="H11" s="95">
        <f t="shared" si="2"/>
        <v>4</v>
      </c>
      <c r="I11" s="95">
        <f t="shared" si="2"/>
        <v>3</v>
      </c>
      <c r="J11" s="95">
        <f t="shared" si="2"/>
        <v>4</v>
      </c>
      <c r="K11" s="95">
        <f t="shared" si="2"/>
        <v>5</v>
      </c>
      <c r="L11" s="95">
        <f t="shared" si="2"/>
        <v>5</v>
      </c>
      <c r="M11" s="95">
        <f t="shared" si="2"/>
        <v>6</v>
      </c>
      <c r="N11" s="78"/>
      <c r="O11" s="118" t="s">
        <v>116</v>
      </c>
      <c r="Q11" s="119" t="s">
        <v>132</v>
      </c>
      <c r="R11" s="78"/>
      <c r="S11" s="122" t="s">
        <v>148</v>
      </c>
      <c r="U11" s="78"/>
    </row>
    <row r="12" spans="1:22" x14ac:dyDescent="0.25">
      <c r="A12" s="102">
        <v>5000</v>
      </c>
      <c r="B12" s="101">
        <f t="shared" si="1"/>
        <v>0</v>
      </c>
      <c r="C12" s="95">
        <f t="shared" si="2"/>
        <v>3</v>
      </c>
      <c r="D12" s="95">
        <f t="shared" si="2"/>
        <v>3</v>
      </c>
      <c r="E12" s="95">
        <f t="shared" si="2"/>
        <v>3</v>
      </c>
      <c r="F12" s="95">
        <f t="shared" si="2"/>
        <v>3</v>
      </c>
      <c r="G12" s="95">
        <f t="shared" si="2"/>
        <v>4</v>
      </c>
      <c r="H12" s="95">
        <f t="shared" si="2"/>
        <v>4</v>
      </c>
      <c r="I12" s="95">
        <f t="shared" si="2"/>
        <v>3</v>
      </c>
      <c r="J12" s="95">
        <f t="shared" si="2"/>
        <v>4</v>
      </c>
      <c r="K12" s="95">
        <f t="shared" si="2"/>
        <v>6</v>
      </c>
      <c r="L12" s="95">
        <f t="shared" si="2"/>
        <v>6</v>
      </c>
      <c r="M12" s="95">
        <f t="shared" si="2"/>
        <v>6</v>
      </c>
      <c r="N12" s="78"/>
      <c r="O12" s="118" t="s">
        <v>41</v>
      </c>
      <c r="Q12" s="119" t="s">
        <v>55</v>
      </c>
      <c r="R12" s="78"/>
      <c r="S12" s="122" t="s">
        <v>149</v>
      </c>
      <c r="U12" s="78"/>
    </row>
    <row r="13" spans="1:22" x14ac:dyDescent="0.25">
      <c r="A13" s="103">
        <v>10000</v>
      </c>
      <c r="B13" s="101">
        <f t="shared" si="1"/>
        <v>0</v>
      </c>
      <c r="C13" s="95">
        <f t="shared" si="2"/>
        <v>3</v>
      </c>
      <c r="D13" s="95">
        <f t="shared" si="2"/>
        <v>3</v>
      </c>
      <c r="E13" s="95">
        <f t="shared" si="2"/>
        <v>3</v>
      </c>
      <c r="F13" s="95">
        <f t="shared" si="2"/>
        <v>3</v>
      </c>
      <c r="G13" s="95">
        <f t="shared" si="2"/>
        <v>4</v>
      </c>
      <c r="H13" s="95">
        <f t="shared" si="2"/>
        <v>4</v>
      </c>
      <c r="I13" s="95">
        <f t="shared" si="2"/>
        <v>4</v>
      </c>
      <c r="J13" s="95">
        <f t="shared" si="2"/>
        <v>4</v>
      </c>
      <c r="K13" s="95">
        <f t="shared" si="2"/>
        <v>6</v>
      </c>
      <c r="L13" s="95">
        <f t="shared" si="2"/>
        <v>6</v>
      </c>
      <c r="M13" s="95">
        <f t="shared" si="2"/>
        <v>6</v>
      </c>
      <c r="N13" s="78"/>
      <c r="O13" s="118" t="s">
        <v>117</v>
      </c>
      <c r="Q13" s="119" t="s">
        <v>133</v>
      </c>
      <c r="R13" s="78"/>
      <c r="S13" s="119" t="s">
        <v>150</v>
      </c>
      <c r="U13" s="78"/>
    </row>
    <row r="14" spans="1:22" x14ac:dyDescent="0.25">
      <c r="A14" s="102">
        <v>15000</v>
      </c>
      <c r="B14" s="101">
        <f t="shared" si="1"/>
        <v>0</v>
      </c>
      <c r="C14" s="95">
        <f t="shared" si="2"/>
        <v>3</v>
      </c>
      <c r="D14" s="95">
        <f t="shared" si="2"/>
        <v>3</v>
      </c>
      <c r="E14" s="95">
        <f t="shared" si="2"/>
        <v>4</v>
      </c>
      <c r="F14" s="95">
        <f t="shared" si="2"/>
        <v>3</v>
      </c>
      <c r="G14" s="95">
        <f t="shared" si="2"/>
        <v>4</v>
      </c>
      <c r="H14" s="95">
        <f t="shared" si="2"/>
        <v>4</v>
      </c>
      <c r="I14" s="95">
        <f t="shared" si="2"/>
        <v>5</v>
      </c>
      <c r="J14" s="95">
        <f t="shared" si="2"/>
        <v>4</v>
      </c>
      <c r="K14" s="95">
        <f t="shared" si="2"/>
        <v>6</v>
      </c>
      <c r="L14" s="95">
        <f t="shared" si="2"/>
        <v>6</v>
      </c>
      <c r="M14" s="95">
        <f t="shared" si="2"/>
        <v>6</v>
      </c>
      <c r="N14" s="78"/>
      <c r="O14" s="118" t="s">
        <v>42</v>
      </c>
      <c r="Q14" s="119" t="s">
        <v>56</v>
      </c>
      <c r="R14" s="78"/>
      <c r="S14" s="122" t="s">
        <v>68</v>
      </c>
      <c r="U14" s="78"/>
    </row>
    <row r="15" spans="1:22" x14ac:dyDescent="0.25">
      <c r="A15" s="103">
        <v>20000</v>
      </c>
      <c r="B15" s="101">
        <f t="shared" si="1"/>
        <v>0</v>
      </c>
      <c r="C15" s="95">
        <f t="shared" si="2"/>
        <v>3</v>
      </c>
      <c r="D15" s="95">
        <f t="shared" si="2"/>
        <v>3</v>
      </c>
      <c r="E15" s="95">
        <f t="shared" si="2"/>
        <v>4</v>
      </c>
      <c r="F15" s="95">
        <f t="shared" si="2"/>
        <v>3</v>
      </c>
      <c r="G15" s="95">
        <f t="shared" si="2"/>
        <v>4</v>
      </c>
      <c r="H15" s="95">
        <f t="shared" si="2"/>
        <v>5</v>
      </c>
      <c r="I15" s="95">
        <f t="shared" si="2"/>
        <v>6</v>
      </c>
      <c r="J15" s="95">
        <f t="shared" si="2"/>
        <v>4</v>
      </c>
      <c r="K15" s="95">
        <f t="shared" si="2"/>
        <v>6</v>
      </c>
      <c r="L15" s="95">
        <f t="shared" si="2"/>
        <v>6</v>
      </c>
      <c r="M15" s="95">
        <f t="shared" si="2"/>
        <v>6</v>
      </c>
      <c r="N15" s="78"/>
      <c r="O15" s="118" t="s">
        <v>118</v>
      </c>
      <c r="Q15" s="119" t="s">
        <v>134</v>
      </c>
      <c r="R15" s="78"/>
      <c r="S15" s="122" t="s">
        <v>151</v>
      </c>
      <c r="U15" s="78"/>
    </row>
    <row r="16" spans="1:22" x14ac:dyDescent="0.25">
      <c r="A16" s="102">
        <v>25000</v>
      </c>
      <c r="B16" s="101">
        <f t="shared" si="1"/>
        <v>0</v>
      </c>
      <c r="C16" s="95">
        <f t="shared" si="2"/>
        <v>3</v>
      </c>
      <c r="D16" s="95">
        <f t="shared" si="2"/>
        <v>3</v>
      </c>
      <c r="E16" s="95">
        <f t="shared" si="2"/>
        <v>4</v>
      </c>
      <c r="F16" s="95">
        <f t="shared" si="2"/>
        <v>4</v>
      </c>
      <c r="G16" s="95">
        <f t="shared" si="2"/>
        <v>4</v>
      </c>
      <c r="H16" s="95">
        <f t="shared" si="2"/>
        <v>5</v>
      </c>
      <c r="I16" s="95">
        <f t="shared" si="2"/>
        <v>7</v>
      </c>
      <c r="J16" s="95">
        <f t="shared" si="2"/>
        <v>4</v>
      </c>
      <c r="K16" s="95">
        <f t="shared" si="2"/>
        <v>6</v>
      </c>
      <c r="L16" s="95">
        <f t="shared" si="2"/>
        <v>6</v>
      </c>
      <c r="M16" s="95">
        <f t="shared" si="2"/>
        <v>7</v>
      </c>
      <c r="N16" s="78"/>
      <c r="O16" s="118" t="s">
        <v>43</v>
      </c>
      <c r="Q16" s="122" t="s">
        <v>57</v>
      </c>
      <c r="R16" s="23"/>
      <c r="S16" s="122" t="s">
        <v>152</v>
      </c>
      <c r="U16" s="78"/>
    </row>
    <row r="17" spans="1:40" x14ac:dyDescent="0.25">
      <c r="A17" s="103">
        <v>30000</v>
      </c>
      <c r="B17" s="101">
        <f t="shared" si="1"/>
        <v>0</v>
      </c>
      <c r="C17" s="95">
        <f t="shared" si="2"/>
        <v>3</v>
      </c>
      <c r="D17" s="95">
        <f t="shared" si="2"/>
        <v>3</v>
      </c>
      <c r="E17" s="95">
        <f t="shared" si="2"/>
        <v>5</v>
      </c>
      <c r="F17" s="95">
        <f t="shared" si="2"/>
        <v>4</v>
      </c>
      <c r="G17" s="95">
        <f t="shared" si="2"/>
        <v>5</v>
      </c>
      <c r="H17" s="95">
        <f t="shared" si="2"/>
        <v>5</v>
      </c>
      <c r="I17" s="95">
        <f t="shared" si="2"/>
        <v>8</v>
      </c>
      <c r="J17" s="95">
        <f t="shared" si="2"/>
        <v>4</v>
      </c>
      <c r="K17" s="95">
        <f t="shared" si="2"/>
        <v>7</v>
      </c>
      <c r="L17" s="95">
        <f t="shared" si="2"/>
        <v>7</v>
      </c>
      <c r="M17" s="95">
        <f t="shared" si="2"/>
        <v>7</v>
      </c>
      <c r="N17" s="78"/>
      <c r="O17" s="118" t="s">
        <v>119</v>
      </c>
      <c r="Q17" s="122" t="s">
        <v>135</v>
      </c>
      <c r="R17" s="23"/>
      <c r="S17" s="122" t="s">
        <v>153</v>
      </c>
      <c r="U17" s="78"/>
    </row>
    <row r="18" spans="1:40" x14ac:dyDescent="0.25">
      <c r="A18" s="102">
        <v>40000</v>
      </c>
      <c r="B18" s="101">
        <f t="shared" si="1"/>
        <v>0</v>
      </c>
      <c r="C18" s="95">
        <f t="shared" si="2"/>
        <v>3</v>
      </c>
      <c r="D18" s="95">
        <f t="shared" si="2"/>
        <v>3</v>
      </c>
      <c r="E18" s="95">
        <f t="shared" si="2"/>
        <v>5</v>
      </c>
      <c r="F18" s="95">
        <f t="shared" si="2"/>
        <v>4</v>
      </c>
      <c r="G18" s="95">
        <f t="shared" si="2"/>
        <v>5</v>
      </c>
      <c r="H18" s="95">
        <f t="shared" si="2"/>
        <v>6</v>
      </c>
      <c r="I18" s="95"/>
      <c r="J18" s="95">
        <f t="shared" ref="J18:M18" si="3">J91+$B18+$J$2</f>
        <v>5</v>
      </c>
      <c r="K18" s="95">
        <f t="shared" si="3"/>
        <v>8</v>
      </c>
      <c r="L18" s="95">
        <f t="shared" si="3"/>
        <v>8</v>
      </c>
      <c r="M18" s="95">
        <f t="shared" si="3"/>
        <v>8</v>
      </c>
      <c r="N18" s="78"/>
      <c r="O18" s="119" t="s">
        <v>44</v>
      </c>
      <c r="Q18" s="119" t="s">
        <v>58</v>
      </c>
      <c r="R18" s="23"/>
      <c r="S18" s="122" t="s">
        <v>154</v>
      </c>
      <c r="U18" s="78"/>
    </row>
    <row r="19" spans="1:40" x14ac:dyDescent="0.25">
      <c r="A19" s="103">
        <v>50000</v>
      </c>
      <c r="B19" s="101">
        <f t="shared" si="1"/>
        <v>0</v>
      </c>
      <c r="C19" s="95">
        <f t="shared" si="2"/>
        <v>3</v>
      </c>
      <c r="D19" s="95">
        <f t="shared" si="2"/>
        <v>4</v>
      </c>
      <c r="E19" s="95">
        <f t="shared" si="2"/>
        <v>6</v>
      </c>
      <c r="F19" s="95">
        <f t="shared" si="2"/>
        <v>5</v>
      </c>
      <c r="G19" s="95">
        <f t="shared" si="2"/>
        <v>5</v>
      </c>
      <c r="H19" s="95">
        <f t="shared" si="2"/>
        <v>6</v>
      </c>
      <c r="I19" s="95"/>
      <c r="J19" s="95">
        <f t="shared" ref="J19:M19" si="4">J92+$B19+$J$2</f>
        <v>5</v>
      </c>
      <c r="K19" s="95">
        <f t="shared" si="4"/>
        <v>8</v>
      </c>
      <c r="L19" s="95">
        <f t="shared" si="4"/>
        <v>8</v>
      </c>
      <c r="M19" s="95">
        <f t="shared" si="4"/>
        <v>8</v>
      </c>
      <c r="N19" s="78"/>
      <c r="O19" s="119" t="s">
        <v>120</v>
      </c>
      <c r="Q19" s="119" t="s">
        <v>136</v>
      </c>
      <c r="R19" s="23"/>
    </row>
    <row r="20" spans="1:40" x14ac:dyDescent="0.25">
      <c r="A20" s="102">
        <v>75000</v>
      </c>
      <c r="B20" s="101">
        <f t="shared" si="1"/>
        <v>0</v>
      </c>
      <c r="C20" s="95">
        <f t="shared" si="2"/>
        <v>4</v>
      </c>
      <c r="D20" s="95">
        <f t="shared" si="2"/>
        <v>4</v>
      </c>
      <c r="E20" s="95">
        <f t="shared" si="2"/>
        <v>7</v>
      </c>
      <c r="F20" s="95">
        <f t="shared" si="2"/>
        <v>6</v>
      </c>
      <c r="G20" s="95">
        <f t="shared" si="2"/>
        <v>6</v>
      </c>
      <c r="H20" s="95">
        <f t="shared" si="2"/>
        <v>6</v>
      </c>
      <c r="I20" s="95"/>
      <c r="J20" s="95">
        <f t="shared" ref="J20:M20" si="5">J93+$B20+$J$2</f>
        <v>5</v>
      </c>
      <c r="K20" s="95">
        <f t="shared" si="5"/>
        <v>9</v>
      </c>
      <c r="L20" s="95">
        <f t="shared" si="5"/>
        <v>9</v>
      </c>
      <c r="M20" s="95">
        <f t="shared" si="5"/>
        <v>9</v>
      </c>
      <c r="N20" s="78"/>
      <c r="O20" s="119" t="s">
        <v>45</v>
      </c>
      <c r="Q20" s="119" t="s">
        <v>59</v>
      </c>
      <c r="R20" s="23"/>
    </row>
    <row r="21" spans="1:40" x14ac:dyDescent="0.25">
      <c r="A21" s="103">
        <v>100000</v>
      </c>
      <c r="B21" s="101">
        <f t="shared" si="1"/>
        <v>0</v>
      </c>
      <c r="C21" s="95">
        <f t="shared" si="2"/>
        <v>4</v>
      </c>
      <c r="D21" s="95">
        <f t="shared" si="2"/>
        <v>5</v>
      </c>
      <c r="E21" s="95">
        <f t="shared" si="2"/>
        <v>8</v>
      </c>
      <c r="F21" s="95">
        <f t="shared" si="2"/>
        <v>7</v>
      </c>
      <c r="G21" s="95">
        <f t="shared" si="2"/>
        <v>6</v>
      </c>
      <c r="H21" s="95"/>
      <c r="I21" s="95"/>
      <c r="J21" s="95">
        <f t="shared" ref="J21:M21" si="6">J94+$B21+$J$2</f>
        <v>7</v>
      </c>
      <c r="K21" s="95">
        <f t="shared" si="6"/>
        <v>9</v>
      </c>
      <c r="L21" s="95">
        <f t="shared" si="6"/>
        <v>9</v>
      </c>
      <c r="M21" s="95">
        <f t="shared" si="6"/>
        <v>9</v>
      </c>
      <c r="N21" s="78"/>
      <c r="O21" s="119" t="s">
        <v>121</v>
      </c>
      <c r="Q21" s="119" t="s">
        <v>137</v>
      </c>
      <c r="R21" s="23"/>
    </row>
    <row r="22" spans="1:40" x14ac:dyDescent="0.25">
      <c r="A22" s="102">
        <v>150000</v>
      </c>
      <c r="B22" s="101">
        <f t="shared" si="1"/>
        <v>0</v>
      </c>
      <c r="C22" s="95">
        <f t="shared" si="2"/>
        <v>5</v>
      </c>
      <c r="D22" s="95"/>
      <c r="E22" s="95">
        <f t="shared" ref="E22:F22" si="7">E95+$B22+$J$2</f>
        <v>8</v>
      </c>
      <c r="F22" s="95">
        <f t="shared" si="7"/>
        <v>7</v>
      </c>
      <c r="G22" s="95"/>
      <c r="H22" s="95"/>
      <c r="I22" s="95"/>
      <c r="J22" s="95"/>
      <c r="K22" s="95"/>
      <c r="L22" s="95"/>
      <c r="M22" s="95"/>
      <c r="N22" s="78"/>
      <c r="O22" s="119" t="s">
        <v>37</v>
      </c>
      <c r="Q22" s="119" t="s">
        <v>60</v>
      </c>
      <c r="R22" s="23"/>
    </row>
    <row r="23" spans="1:40" x14ac:dyDescent="0.25">
      <c r="A23" s="104" t="s">
        <v>89</v>
      </c>
      <c r="B23" s="101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78"/>
      <c r="O23" s="119" t="s">
        <v>122</v>
      </c>
      <c r="Q23" s="119" t="s">
        <v>138</v>
      </c>
      <c r="R23" s="144"/>
    </row>
    <row r="24" spans="1:40" x14ac:dyDescent="0.25">
      <c r="A24" s="22"/>
      <c r="B24" s="2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9" t="s">
        <v>46</v>
      </c>
      <c r="Q24" s="119" t="s">
        <v>61</v>
      </c>
      <c r="R24" s="143"/>
    </row>
    <row r="25" spans="1:40" ht="15.75" thickBot="1" x14ac:dyDescent="0.3">
      <c r="O25" s="119" t="s">
        <v>123</v>
      </c>
      <c r="Q25" s="119" t="s">
        <v>139</v>
      </c>
      <c r="R25" s="143"/>
    </row>
    <row r="26" spans="1:40" x14ac:dyDescent="0.25">
      <c r="A26" s="138" t="s">
        <v>156</v>
      </c>
      <c r="B26" s="124"/>
      <c r="C26" s="170" t="s">
        <v>86</v>
      </c>
      <c r="D26" s="170"/>
      <c r="E26" s="170" t="s">
        <v>87</v>
      </c>
      <c r="F26" s="170"/>
      <c r="G26" s="170" t="s">
        <v>88</v>
      </c>
      <c r="H26" s="170"/>
      <c r="I26" s="170" t="s">
        <v>160</v>
      </c>
      <c r="J26" s="170"/>
      <c r="K26" s="170" t="s">
        <v>90</v>
      </c>
      <c r="L26" s="171"/>
      <c r="O26" s="119" t="s">
        <v>47</v>
      </c>
      <c r="Q26" s="119" t="s">
        <v>62</v>
      </c>
      <c r="R26" s="78"/>
    </row>
    <row r="27" spans="1:40" x14ac:dyDescent="0.25">
      <c r="A27" s="125"/>
      <c r="B27" s="2"/>
      <c r="C27" s="2" t="s">
        <v>80</v>
      </c>
      <c r="D27" s="2"/>
      <c r="E27" s="2" t="s">
        <v>82</v>
      </c>
      <c r="F27" s="2"/>
      <c r="G27" s="2" t="s">
        <v>113</v>
      </c>
      <c r="H27" s="2"/>
      <c r="I27" s="115" t="s">
        <v>92</v>
      </c>
      <c r="J27" s="2"/>
      <c r="K27" s="23" t="s">
        <v>96</v>
      </c>
      <c r="L27" s="126"/>
      <c r="M27" s="23"/>
      <c r="N27" s="23"/>
      <c r="O27" s="119" t="s">
        <v>124</v>
      </c>
      <c r="Q27" s="119" t="s">
        <v>140</v>
      </c>
      <c r="R27" s="78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ht="15" customHeight="1" x14ac:dyDescent="0.25">
      <c r="A28" s="125"/>
      <c r="B28" s="2"/>
      <c r="C28" s="23" t="s">
        <v>81</v>
      </c>
      <c r="D28" s="2"/>
      <c r="E28" s="23" t="s">
        <v>83</v>
      </c>
      <c r="F28" s="2"/>
      <c r="G28" s="23" t="s">
        <v>114</v>
      </c>
      <c r="H28" s="2"/>
      <c r="I28" s="116" t="s">
        <v>93</v>
      </c>
      <c r="J28" s="2"/>
      <c r="K28" s="2" t="s">
        <v>95</v>
      </c>
      <c r="L28" s="126"/>
      <c r="M28" s="23"/>
      <c r="N28" s="23"/>
      <c r="O28" s="119" t="s">
        <v>48</v>
      </c>
      <c r="Q28" s="119" t="s">
        <v>63</v>
      </c>
      <c r="R28" s="78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5">
      <c r="A29" s="125"/>
      <c r="B29" s="2"/>
      <c r="C29" s="23"/>
      <c r="D29" s="23"/>
      <c r="E29" s="23"/>
      <c r="F29" s="23"/>
      <c r="G29" s="23"/>
      <c r="H29" s="105"/>
      <c r="I29" s="123" t="s">
        <v>94</v>
      </c>
      <c r="J29" s="2"/>
      <c r="K29" s="2"/>
      <c r="L29" s="126"/>
      <c r="M29" s="23"/>
      <c r="N29" s="23"/>
      <c r="O29" s="119" t="s">
        <v>125</v>
      </c>
      <c r="Q29" s="119" t="s">
        <v>141</v>
      </c>
      <c r="R29" s="78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5">
      <c r="A30" s="125"/>
      <c r="B30" s="2"/>
      <c r="C30" s="110"/>
      <c r="D30" s="110"/>
      <c r="E30" s="110"/>
      <c r="F30" s="110"/>
      <c r="G30" s="110"/>
      <c r="H30" s="110"/>
      <c r="I30" s="23" t="s">
        <v>98</v>
      </c>
      <c r="J30" s="2"/>
      <c r="K30" s="23"/>
      <c r="L30" s="127"/>
      <c r="M30" s="23"/>
      <c r="N30" s="23"/>
      <c r="O30" s="119" t="s">
        <v>49</v>
      </c>
      <c r="Q30" s="119" t="s">
        <v>64</v>
      </c>
      <c r="R30" s="78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ht="15.75" thickBot="1" x14ac:dyDescent="0.3">
      <c r="A31" s="128"/>
      <c r="B31" s="129"/>
      <c r="C31" s="129"/>
      <c r="D31" s="129"/>
      <c r="E31" s="130"/>
      <c r="F31" s="129"/>
      <c r="G31" s="130"/>
      <c r="H31" s="129"/>
      <c r="I31" s="130" t="s">
        <v>97</v>
      </c>
      <c r="J31" s="129"/>
      <c r="K31" s="130"/>
      <c r="L31" s="131"/>
      <c r="M31" s="23"/>
      <c r="N31" s="23"/>
      <c r="O31" s="119" t="s">
        <v>126</v>
      </c>
      <c r="Q31" s="119" t="s">
        <v>142</v>
      </c>
      <c r="R31" s="78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ht="15.75" thickBot="1" x14ac:dyDescent="0.3">
      <c r="A32" s="100"/>
      <c r="M32" s="81"/>
      <c r="N32" s="81"/>
      <c r="O32" s="119" t="s">
        <v>50</v>
      </c>
      <c r="Q32" s="119" t="s">
        <v>65</v>
      </c>
      <c r="R32" s="78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5">
      <c r="A33" s="138" t="s">
        <v>155</v>
      </c>
      <c r="B33" s="132"/>
      <c r="C33" s="170" t="s">
        <v>86</v>
      </c>
      <c r="D33" s="170"/>
      <c r="E33" s="170" t="s">
        <v>87</v>
      </c>
      <c r="F33" s="170"/>
      <c r="G33" s="170" t="s">
        <v>88</v>
      </c>
      <c r="H33" s="170"/>
      <c r="I33" s="170" t="s">
        <v>111</v>
      </c>
      <c r="J33" s="170"/>
      <c r="K33" s="170" t="s">
        <v>90</v>
      </c>
      <c r="L33" s="171"/>
      <c r="M33" s="83"/>
      <c r="N33" s="83"/>
      <c r="O33" s="119" t="s">
        <v>127</v>
      </c>
      <c r="Q33" s="119" t="s">
        <v>143</v>
      </c>
      <c r="R33" s="78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</row>
    <row r="34" spans="1:40" x14ac:dyDescent="0.25">
      <c r="A34" s="133"/>
      <c r="B34" s="111"/>
      <c r="C34" s="2" t="s">
        <v>80</v>
      </c>
      <c r="D34" s="2"/>
      <c r="E34" s="2" t="s">
        <v>82</v>
      </c>
      <c r="F34" s="2"/>
      <c r="G34" s="2" t="s">
        <v>113</v>
      </c>
      <c r="H34" s="2"/>
      <c r="I34" s="115" t="s">
        <v>92</v>
      </c>
      <c r="J34" s="2"/>
      <c r="K34" s="23" t="s">
        <v>96</v>
      </c>
      <c r="L34" s="126"/>
      <c r="M34" s="23"/>
      <c r="N34" s="23"/>
      <c r="O34" s="119" t="s">
        <v>51</v>
      </c>
      <c r="Q34" s="119" t="s">
        <v>66</v>
      </c>
      <c r="R34" s="78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5">
      <c r="A35" s="134"/>
      <c r="B35" s="2"/>
      <c r="C35" s="23" t="s">
        <v>81</v>
      </c>
      <c r="D35" s="2"/>
      <c r="E35" s="23" t="s">
        <v>83</v>
      </c>
      <c r="F35" s="2"/>
      <c r="G35" s="23" t="s">
        <v>114</v>
      </c>
      <c r="H35" s="2"/>
      <c r="I35" s="116" t="s">
        <v>93</v>
      </c>
      <c r="J35" s="2"/>
      <c r="K35" s="2" t="s">
        <v>95</v>
      </c>
      <c r="L35" s="126"/>
      <c r="M35" s="78"/>
      <c r="N35" s="78"/>
      <c r="O35" s="119" t="s">
        <v>128</v>
      </c>
      <c r="Q35" s="119" t="s">
        <v>144</v>
      </c>
      <c r="R35" s="78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s="1" customFormat="1" x14ac:dyDescent="0.25">
      <c r="A36" s="135"/>
      <c r="B36" s="136"/>
      <c r="C36" s="23"/>
      <c r="D36" s="23"/>
      <c r="E36" s="23"/>
      <c r="F36" s="23"/>
      <c r="G36" s="23"/>
      <c r="H36" s="105"/>
      <c r="I36" s="123" t="s">
        <v>94</v>
      </c>
      <c r="J36" s="2"/>
      <c r="K36" s="2"/>
      <c r="L36" s="126"/>
      <c r="M36" s="78"/>
      <c r="N36" s="78"/>
      <c r="O36" s="119" t="s">
        <v>38</v>
      </c>
      <c r="Q36" s="119" t="s">
        <v>67</v>
      </c>
      <c r="R36" s="78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</row>
    <row r="37" spans="1:40" x14ac:dyDescent="0.25">
      <c r="A37" s="134"/>
      <c r="B37" s="2"/>
      <c r="C37" s="110"/>
      <c r="D37" s="110"/>
      <c r="E37" s="110"/>
      <c r="F37" s="110"/>
      <c r="G37" s="110"/>
      <c r="H37" s="110"/>
      <c r="I37" s="23" t="s">
        <v>98</v>
      </c>
      <c r="J37" s="2"/>
      <c r="K37" s="23"/>
      <c r="L37" s="127"/>
      <c r="O37" s="119" t="s">
        <v>129</v>
      </c>
      <c r="Q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ht="15.75" thickBot="1" x14ac:dyDescent="0.3">
      <c r="A38" s="137"/>
      <c r="B38" s="129"/>
      <c r="C38" s="129"/>
      <c r="D38" s="129"/>
      <c r="E38" s="130"/>
      <c r="F38" s="129"/>
      <c r="G38" s="130"/>
      <c r="H38" s="129"/>
      <c r="I38" s="130" t="s">
        <v>97</v>
      </c>
      <c r="J38" s="129"/>
      <c r="K38" s="130"/>
      <c r="L38" s="131"/>
      <c r="O38" s="119" t="s">
        <v>52</v>
      </c>
      <c r="Q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5">
      <c r="O39" s="119" t="s">
        <v>130</v>
      </c>
      <c r="Q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hidden="1" x14ac:dyDescent="0.25">
      <c r="A40" s="23"/>
      <c r="B40" s="23" t="s">
        <v>156</v>
      </c>
      <c r="C40" s="78" t="b">
        <v>0</v>
      </c>
      <c r="D40" s="78"/>
      <c r="E40" s="78"/>
      <c r="F40" s="78"/>
      <c r="G40" s="99">
        <v>4000</v>
      </c>
      <c r="H40" s="78"/>
      <c r="I40" s="78"/>
      <c r="J40" s="78"/>
      <c r="Q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hidden="1" x14ac:dyDescent="0.25">
      <c r="A41" s="23"/>
      <c r="B41" s="23"/>
      <c r="C41" s="78"/>
      <c r="D41" s="78"/>
      <c r="E41" s="1"/>
      <c r="F41" s="113" t="s">
        <v>112</v>
      </c>
      <c r="G41" s="78">
        <f>IF(E44=TRUE,1.3,1)</f>
        <v>1</v>
      </c>
      <c r="H41" s="78"/>
      <c r="I41" s="78"/>
      <c r="J41" s="78"/>
      <c r="Q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hidden="1" x14ac:dyDescent="0.25">
      <c r="B42" s="99" t="s">
        <v>110</v>
      </c>
      <c r="C42" s="98">
        <v>2</v>
      </c>
      <c r="D42" s="78" t="s">
        <v>100</v>
      </c>
      <c r="E42" s="78"/>
      <c r="F42" s="78" t="s">
        <v>91</v>
      </c>
      <c r="G42" s="99">
        <f>G40*G41</f>
        <v>4000</v>
      </c>
      <c r="H42" s="78" t="s">
        <v>106</v>
      </c>
      <c r="I42" s="78" t="s">
        <v>107</v>
      </c>
      <c r="J42" s="78" t="s">
        <v>108</v>
      </c>
      <c r="Q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hidden="1" x14ac:dyDescent="0.25">
      <c r="A43" s="99">
        <v>1000</v>
      </c>
      <c r="B43" s="99">
        <f>CEILING(C43,8)/8</f>
        <v>1</v>
      </c>
      <c r="C43" s="112">
        <f t="shared" ref="C43:C55" si="8">A43/$G$57+$C$42</f>
        <v>2.25</v>
      </c>
      <c r="D43" s="78" t="s">
        <v>80</v>
      </c>
      <c r="E43" s="78" t="b">
        <v>0</v>
      </c>
      <c r="F43" s="108">
        <v>1</v>
      </c>
      <c r="G43" s="78">
        <f>IF(E43=TRUE,F43,1)</f>
        <v>1</v>
      </c>
      <c r="H43" s="78" t="s">
        <v>81</v>
      </c>
      <c r="I43" s="109">
        <v>35</v>
      </c>
      <c r="J43" s="109">
        <v>2000</v>
      </c>
      <c r="Q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hidden="1" x14ac:dyDescent="0.25">
      <c r="A44" s="99">
        <v>2500</v>
      </c>
      <c r="B44" s="99">
        <f t="shared" ref="B44:B55" si="9">CEILING(C44,8)/8</f>
        <v>1</v>
      </c>
      <c r="C44" s="112">
        <f t="shared" si="8"/>
        <v>2.625</v>
      </c>
      <c r="D44" s="78" t="s">
        <v>81</v>
      </c>
      <c r="E44" s="78" t="b">
        <v>0</v>
      </c>
      <c r="F44" s="108">
        <v>0.5</v>
      </c>
      <c r="G44" s="78">
        <f>IF(E44=TRUE,F44,1)</f>
        <v>1</v>
      </c>
      <c r="H44" s="78" t="s">
        <v>80</v>
      </c>
      <c r="I44" s="109">
        <v>70</v>
      </c>
      <c r="J44" s="109">
        <v>4000</v>
      </c>
      <c r="Q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hidden="1" x14ac:dyDescent="0.25">
      <c r="A45" s="96">
        <v>5000</v>
      </c>
      <c r="B45" s="99">
        <f t="shared" si="9"/>
        <v>1</v>
      </c>
      <c r="C45" s="112">
        <f t="shared" si="8"/>
        <v>3.25</v>
      </c>
      <c r="D45" s="78" t="s">
        <v>82</v>
      </c>
      <c r="E45" s="78" t="b">
        <v>0</v>
      </c>
      <c r="F45" s="108">
        <v>1</v>
      </c>
      <c r="G45" s="78">
        <f t="shared" ref="G45:G55" si="10">IF(E45=TRUE,F45,1)</f>
        <v>1</v>
      </c>
      <c r="H45" s="78"/>
      <c r="I45" s="78"/>
      <c r="J45" s="78"/>
      <c r="Q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hidden="1" x14ac:dyDescent="0.25">
      <c r="A46" s="96">
        <v>10000</v>
      </c>
      <c r="B46" s="99">
        <f t="shared" si="9"/>
        <v>1</v>
      </c>
      <c r="C46" s="112">
        <f t="shared" si="8"/>
        <v>4.5</v>
      </c>
      <c r="D46" s="78" t="s">
        <v>83</v>
      </c>
      <c r="E46" s="78" t="b">
        <v>0</v>
      </c>
      <c r="F46" s="108">
        <v>0.5</v>
      </c>
      <c r="G46" s="78">
        <f t="shared" si="10"/>
        <v>1</v>
      </c>
      <c r="H46" s="78"/>
      <c r="I46" s="78"/>
      <c r="J46" s="78"/>
      <c r="Q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hidden="1" x14ac:dyDescent="0.25">
      <c r="A47" s="96">
        <v>15000</v>
      </c>
      <c r="B47" s="99">
        <f t="shared" si="9"/>
        <v>1</v>
      </c>
      <c r="C47" s="112">
        <f t="shared" si="8"/>
        <v>5.75</v>
      </c>
      <c r="D47" s="78" t="s">
        <v>84</v>
      </c>
      <c r="E47" s="78" t="b">
        <v>0</v>
      </c>
      <c r="F47" s="108">
        <v>1</v>
      </c>
      <c r="G47" s="78">
        <f t="shared" si="10"/>
        <v>1</v>
      </c>
      <c r="H47" s="78"/>
      <c r="I47" s="78"/>
      <c r="J47" s="78"/>
      <c r="Q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hidden="1" x14ac:dyDescent="0.25">
      <c r="A48" s="96">
        <v>20000</v>
      </c>
      <c r="B48" s="99">
        <f t="shared" si="9"/>
        <v>1</v>
      </c>
      <c r="C48" s="112">
        <f t="shared" si="8"/>
        <v>7</v>
      </c>
      <c r="D48" s="78" t="s">
        <v>85</v>
      </c>
      <c r="E48" s="78" t="b">
        <v>0</v>
      </c>
      <c r="F48" s="108">
        <v>0.8</v>
      </c>
      <c r="G48" s="78">
        <f t="shared" si="10"/>
        <v>1</v>
      </c>
      <c r="H48" s="78"/>
      <c r="I48" s="78"/>
      <c r="J48" s="78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68" hidden="1" x14ac:dyDescent="0.25">
      <c r="A49" s="96">
        <v>25000</v>
      </c>
      <c r="B49" s="99">
        <f t="shared" si="9"/>
        <v>2</v>
      </c>
      <c r="C49" s="112">
        <f t="shared" si="8"/>
        <v>8.25</v>
      </c>
      <c r="D49" s="78" t="s">
        <v>92</v>
      </c>
      <c r="E49" s="78" t="b">
        <v>0</v>
      </c>
      <c r="F49" s="108">
        <v>6</v>
      </c>
      <c r="G49" s="78">
        <f t="shared" si="10"/>
        <v>1</v>
      </c>
      <c r="H49" s="78"/>
      <c r="I49" s="78"/>
      <c r="J49" s="78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68" hidden="1" x14ac:dyDescent="0.25">
      <c r="A50" s="99">
        <v>30000</v>
      </c>
      <c r="B50" s="99">
        <f t="shared" si="9"/>
        <v>2</v>
      </c>
      <c r="C50" s="112">
        <f t="shared" si="8"/>
        <v>9.5</v>
      </c>
      <c r="D50" s="78" t="s">
        <v>93</v>
      </c>
      <c r="E50" s="78" t="b">
        <v>0</v>
      </c>
      <c r="F50" s="108">
        <v>2</v>
      </c>
      <c r="G50" s="78">
        <f t="shared" si="10"/>
        <v>1</v>
      </c>
      <c r="H50" s="78"/>
      <c r="I50" s="78"/>
      <c r="J50" s="78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68" hidden="1" x14ac:dyDescent="0.25">
      <c r="A51" s="99">
        <v>40000</v>
      </c>
      <c r="B51" s="99">
        <f t="shared" si="9"/>
        <v>2</v>
      </c>
      <c r="C51" s="112">
        <f t="shared" si="8"/>
        <v>12</v>
      </c>
      <c r="D51" s="78" t="s">
        <v>94</v>
      </c>
      <c r="E51" s="78" t="b">
        <v>0</v>
      </c>
      <c r="F51" s="108">
        <v>1</v>
      </c>
      <c r="G51" s="78">
        <f t="shared" si="10"/>
        <v>1</v>
      </c>
      <c r="H51" s="78"/>
      <c r="I51" s="78"/>
      <c r="J51" s="78"/>
      <c r="K51" s="23"/>
      <c r="L51" s="23"/>
      <c r="M51" s="23"/>
      <c r="N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68" hidden="1" x14ac:dyDescent="0.25">
      <c r="A52" s="99">
        <v>50000</v>
      </c>
      <c r="B52" s="99">
        <f t="shared" si="9"/>
        <v>2</v>
      </c>
      <c r="C52" s="112">
        <f t="shared" si="8"/>
        <v>14.5</v>
      </c>
      <c r="D52" s="96" t="s">
        <v>98</v>
      </c>
      <c r="E52" s="78" t="b">
        <v>0</v>
      </c>
      <c r="F52" s="108">
        <v>4</v>
      </c>
      <c r="G52" s="78">
        <f t="shared" si="10"/>
        <v>1</v>
      </c>
      <c r="H52" s="78"/>
      <c r="I52" s="78"/>
      <c r="J52" s="78"/>
      <c r="K52" s="23"/>
      <c r="L52" s="23"/>
      <c r="M52" s="23"/>
      <c r="N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68" hidden="1" x14ac:dyDescent="0.25">
      <c r="A53" s="99">
        <v>75000</v>
      </c>
      <c r="B53" s="99">
        <f t="shared" si="9"/>
        <v>3</v>
      </c>
      <c r="C53" s="112">
        <f t="shared" si="8"/>
        <v>20.75</v>
      </c>
      <c r="D53" s="96" t="s">
        <v>97</v>
      </c>
      <c r="E53" s="23" t="b">
        <v>0</v>
      </c>
      <c r="F53" s="108">
        <v>9</v>
      </c>
      <c r="G53" s="78">
        <f t="shared" si="10"/>
        <v>1</v>
      </c>
      <c r="H53" s="23"/>
      <c r="I53" s="23"/>
      <c r="J53" s="23"/>
      <c r="K53" s="23"/>
      <c r="L53" s="23"/>
      <c r="M53" s="23"/>
      <c r="N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68" hidden="1" x14ac:dyDescent="0.25">
      <c r="A54" s="99">
        <v>100000</v>
      </c>
      <c r="B54" s="99">
        <f t="shared" si="9"/>
        <v>4</v>
      </c>
      <c r="C54" s="112">
        <f t="shared" si="8"/>
        <v>27</v>
      </c>
      <c r="D54" s="78" t="s">
        <v>99</v>
      </c>
      <c r="E54" s="23" t="b">
        <v>0</v>
      </c>
      <c r="F54" s="108">
        <v>0.9</v>
      </c>
      <c r="G54" s="78">
        <f t="shared" si="10"/>
        <v>1</v>
      </c>
      <c r="H54" s="23"/>
      <c r="I54" s="23"/>
      <c r="J54" s="23"/>
      <c r="K54" s="23"/>
      <c r="L54" s="23"/>
      <c r="M54" s="23"/>
      <c r="N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68" hidden="1" x14ac:dyDescent="0.25">
      <c r="A55" s="99">
        <v>150000</v>
      </c>
      <c r="B55" s="99">
        <f t="shared" si="9"/>
        <v>5</v>
      </c>
      <c r="C55" s="112">
        <f t="shared" si="8"/>
        <v>39.5</v>
      </c>
      <c r="D55" s="78" t="s">
        <v>105</v>
      </c>
      <c r="E55" s="23" t="b">
        <v>0</v>
      </c>
      <c r="F55" s="108">
        <v>1</v>
      </c>
      <c r="G55" s="78">
        <f t="shared" si="10"/>
        <v>1</v>
      </c>
      <c r="H55" s="23"/>
      <c r="I55" s="23"/>
      <c r="J55" s="23"/>
      <c r="K55" s="97"/>
      <c r="L55" s="96"/>
      <c r="M55" s="97"/>
      <c r="N55" s="96"/>
      <c r="Q55" s="175"/>
      <c r="R55" s="174"/>
      <c r="S55" s="175"/>
      <c r="T55" s="174"/>
      <c r="U55" s="175"/>
      <c r="V55" s="174"/>
      <c r="W55" s="175"/>
      <c r="X55" s="174"/>
      <c r="Y55" s="175"/>
      <c r="Z55" s="174"/>
      <c r="AA55" s="175"/>
      <c r="AB55" s="174"/>
      <c r="AC55" s="175"/>
      <c r="AD55" s="174"/>
      <c r="AE55" s="175"/>
      <c r="AF55" s="174"/>
      <c r="AG55" s="175"/>
      <c r="AH55" s="174"/>
      <c r="AI55" s="175"/>
      <c r="AJ55" s="174"/>
      <c r="AK55" s="175"/>
      <c r="AL55" s="174"/>
      <c r="AM55" s="175"/>
      <c r="AN55" s="174"/>
      <c r="AO55" s="176"/>
      <c r="AP55" s="177"/>
      <c r="AQ55" s="178"/>
      <c r="AR55" s="177"/>
      <c r="AS55" s="178"/>
      <c r="AT55" s="177"/>
      <c r="AU55" s="178"/>
      <c r="AV55" s="177"/>
      <c r="AW55" s="178"/>
      <c r="AX55" s="177"/>
      <c r="AY55" s="178"/>
      <c r="AZ55" s="177"/>
      <c r="BA55" s="178"/>
      <c r="BB55" s="177"/>
      <c r="BC55" s="178"/>
      <c r="BD55" s="177"/>
      <c r="BE55" s="178"/>
      <c r="BF55" s="177"/>
      <c r="BG55" s="178"/>
      <c r="BH55" s="177"/>
      <c r="BI55" s="178"/>
      <c r="BJ55" s="177"/>
      <c r="BK55" s="178"/>
      <c r="BL55" s="177"/>
      <c r="BM55" s="178"/>
      <c r="BN55" s="177"/>
      <c r="BO55" s="178"/>
      <c r="BP55" s="177"/>
    </row>
    <row r="56" spans="1:68" hidden="1" x14ac:dyDescent="0.25">
      <c r="A56" s="99"/>
      <c r="C56" s="99"/>
      <c r="E56" s="23"/>
      <c r="F56" s="23"/>
      <c r="G56" s="78">
        <f>G43*G44*G45*G46*G47*G48*G49*G50*G51*G52*G53*G54*G55</f>
        <v>1</v>
      </c>
      <c r="H56" s="23"/>
      <c r="I56" s="23"/>
      <c r="J56" s="23"/>
      <c r="K56" s="83"/>
      <c r="L56" s="83"/>
      <c r="M56" s="83"/>
      <c r="N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83"/>
      <c r="AC56" s="83"/>
      <c r="AD56" s="83"/>
      <c r="AE56" s="83"/>
      <c r="AF56" s="83"/>
      <c r="AG56" s="83"/>
      <c r="AH56" s="83"/>
      <c r="AI56" s="83"/>
      <c r="AJ56" s="83"/>
      <c r="AK56" s="83"/>
      <c r="AL56" s="83"/>
      <c r="AM56" s="83"/>
      <c r="AN56" s="83"/>
      <c r="AO56" s="5"/>
      <c r="AP56" s="67"/>
      <c r="AQ56" s="66"/>
      <c r="AR56" s="67"/>
      <c r="AS56" s="66"/>
      <c r="AT56" s="67"/>
      <c r="AU56" s="66"/>
      <c r="AV56" s="67"/>
      <c r="AW56" s="66"/>
      <c r="AX56" s="67"/>
      <c r="AY56" s="66"/>
      <c r="AZ56" s="67"/>
      <c r="BA56" s="66"/>
      <c r="BB56" s="67"/>
      <c r="BC56" s="66"/>
      <c r="BD56" s="67"/>
      <c r="BE56" s="66"/>
      <c r="BF56" s="67"/>
      <c r="BG56" s="66"/>
      <c r="BH56" s="67"/>
      <c r="BI56" s="66"/>
      <c r="BJ56" s="67"/>
      <c r="BK56" s="66"/>
      <c r="BL56" s="67"/>
      <c r="BM56" s="66"/>
      <c r="BN56" s="67"/>
      <c r="BO56" s="66"/>
      <c r="BP56" s="67"/>
    </row>
    <row r="57" spans="1:68" hidden="1" x14ac:dyDescent="0.25">
      <c r="F57" s="96" t="s">
        <v>109</v>
      </c>
      <c r="G57" s="96">
        <f>G42*G56</f>
        <v>4000</v>
      </c>
      <c r="H57" s="23"/>
      <c r="I57" s="23"/>
      <c r="J57" s="23"/>
      <c r="K57" s="83"/>
      <c r="L57" s="23"/>
      <c r="M57" s="83"/>
      <c r="N57" s="23"/>
      <c r="Q57" s="83"/>
      <c r="R57" s="23"/>
      <c r="S57" s="83"/>
      <c r="T57" s="23"/>
      <c r="U57" s="83"/>
      <c r="V57" s="23"/>
      <c r="W57" s="83"/>
      <c r="X57" s="23"/>
      <c r="Y57" s="83"/>
      <c r="Z57" s="23"/>
      <c r="AA57" s="83"/>
      <c r="AB57" s="23"/>
      <c r="AC57" s="83"/>
      <c r="AD57" s="23"/>
      <c r="AE57" s="83"/>
      <c r="AF57" s="23"/>
      <c r="AG57" s="83"/>
      <c r="AH57" s="23"/>
      <c r="AI57" s="83"/>
      <c r="AJ57" s="23"/>
      <c r="AK57" s="83"/>
      <c r="AL57" s="23"/>
      <c r="AM57" s="83"/>
      <c r="AN57" s="23"/>
      <c r="AO57" s="5"/>
      <c r="AP57" s="7"/>
      <c r="AQ57" s="66"/>
      <c r="AR57" s="7"/>
      <c r="AS57" s="66"/>
      <c r="AT57" s="7"/>
      <c r="AU57" s="66"/>
      <c r="AV57" s="7"/>
      <c r="AW57" s="66"/>
      <c r="AX57" s="7"/>
      <c r="AY57" s="66"/>
      <c r="AZ57" s="7"/>
      <c r="BA57" s="66"/>
      <c r="BB57" s="7"/>
      <c r="BC57" s="66"/>
      <c r="BD57" s="7"/>
      <c r="BE57" s="66"/>
      <c r="BF57" s="7"/>
      <c r="BG57" s="66"/>
      <c r="BH57" s="7"/>
      <c r="BI57" s="66"/>
      <c r="BJ57" s="7"/>
      <c r="BK57" s="66"/>
      <c r="BL57" s="7"/>
      <c r="BM57" s="66"/>
      <c r="BN57" s="7"/>
      <c r="BO57" s="66"/>
      <c r="BP57" s="7"/>
    </row>
    <row r="58" spans="1:68" hidden="1" x14ac:dyDescent="0.25">
      <c r="F58" s="96"/>
      <c r="G58" s="96"/>
      <c r="H58" s="23"/>
      <c r="I58" s="23"/>
      <c r="J58" s="23"/>
      <c r="K58" s="78"/>
      <c r="L58" s="23"/>
      <c r="M58" s="78"/>
      <c r="N58" s="23"/>
      <c r="Q58" s="78"/>
      <c r="R58" s="23"/>
      <c r="S58" s="78"/>
      <c r="T58" s="23"/>
      <c r="U58" s="78"/>
      <c r="V58" s="23"/>
      <c r="W58" s="78"/>
      <c r="X58" s="23"/>
      <c r="Y58" s="78"/>
      <c r="Z58" s="23"/>
      <c r="AA58" s="78"/>
      <c r="AB58" s="23"/>
      <c r="AC58" s="78"/>
      <c r="AD58" s="23"/>
      <c r="AE58" s="78"/>
      <c r="AF58" s="23"/>
      <c r="AG58" s="78"/>
      <c r="AH58" s="23"/>
      <c r="AI58" s="78"/>
      <c r="AJ58" s="23"/>
      <c r="AK58" s="78"/>
      <c r="AL58" s="23"/>
      <c r="AM58" s="78"/>
      <c r="AN58" s="23"/>
      <c r="AO58" s="76"/>
      <c r="AP58" s="68"/>
      <c r="AQ58" s="69"/>
      <c r="AR58" s="68"/>
      <c r="AS58" s="69"/>
      <c r="AT58" s="68"/>
      <c r="AU58" s="69"/>
      <c r="AV58" s="68"/>
      <c r="AW58" s="69"/>
      <c r="AX58" s="68"/>
      <c r="AY58" s="69"/>
      <c r="AZ58" s="68"/>
      <c r="BA58" s="69"/>
      <c r="BB58" s="68"/>
      <c r="BC58" s="69"/>
      <c r="BD58" s="68"/>
      <c r="BE58" s="69"/>
      <c r="BF58" s="68"/>
      <c r="BG58" s="69"/>
      <c r="BH58" s="68"/>
      <c r="BI58" s="69"/>
      <c r="BJ58" s="68"/>
      <c r="BK58" s="69"/>
      <c r="BL58" s="68"/>
      <c r="BM58" s="69"/>
      <c r="BN58" s="68"/>
      <c r="BO58" s="69"/>
      <c r="BP58" s="68"/>
    </row>
    <row r="59" spans="1:68" hidden="1" x14ac:dyDescent="0.25">
      <c r="H59" s="23"/>
      <c r="I59" s="23"/>
      <c r="J59" s="23"/>
      <c r="K59" s="78"/>
      <c r="L59" s="23"/>
      <c r="M59" s="78"/>
      <c r="N59" s="23"/>
      <c r="Q59" s="78"/>
      <c r="R59" s="23"/>
      <c r="S59" s="78"/>
      <c r="T59" s="23"/>
      <c r="U59" s="78"/>
      <c r="V59" s="23"/>
      <c r="W59" s="78"/>
      <c r="X59" s="23"/>
      <c r="Y59" s="78"/>
      <c r="Z59" s="23"/>
      <c r="AA59" s="78"/>
      <c r="AB59" s="23"/>
      <c r="AC59" s="78"/>
      <c r="AD59" s="23"/>
      <c r="AE59" s="78"/>
      <c r="AF59" s="23"/>
      <c r="AG59" s="78"/>
      <c r="AH59" s="23"/>
      <c r="AI59" s="78"/>
      <c r="AJ59" s="23"/>
      <c r="AK59" s="78"/>
      <c r="AL59" s="23"/>
      <c r="AM59" s="78"/>
      <c r="AN59" s="23"/>
      <c r="AO59" s="77"/>
      <c r="AP59" s="70"/>
      <c r="AQ59" s="71"/>
      <c r="AR59" s="70"/>
      <c r="AS59" s="71"/>
      <c r="AT59" s="70"/>
      <c r="AU59" s="71"/>
      <c r="AV59" s="70"/>
      <c r="AW59" s="71"/>
      <c r="AX59" s="70"/>
      <c r="AY59" s="71"/>
      <c r="AZ59" s="70"/>
      <c r="BA59" s="71"/>
      <c r="BB59" s="70"/>
      <c r="BC59" s="71"/>
      <c r="BD59" s="70"/>
      <c r="BE59" s="71"/>
      <c r="BF59" s="70"/>
      <c r="BG59" s="71"/>
      <c r="BH59" s="70"/>
      <c r="BI59" s="71"/>
      <c r="BJ59" s="70"/>
      <c r="BK59" s="71"/>
      <c r="BL59" s="70"/>
      <c r="BM59" s="71"/>
      <c r="BN59" s="70"/>
      <c r="BO59" s="71"/>
      <c r="BP59" s="70"/>
    </row>
    <row r="60" spans="1:68" s="1" customFormat="1" hidden="1" x14ac:dyDescent="0.25">
      <c r="A60" s="23"/>
      <c r="B60" t="s">
        <v>155</v>
      </c>
      <c r="C60" t="b">
        <v>0</v>
      </c>
      <c r="D60" s="78"/>
      <c r="E60" s="78"/>
      <c r="F60" s="78"/>
      <c r="G60" s="99">
        <v>4000</v>
      </c>
      <c r="H60" s="96"/>
      <c r="I60" s="97"/>
      <c r="J60" s="96"/>
      <c r="K60" s="78"/>
      <c r="L60" s="80"/>
      <c r="M60" s="78"/>
      <c r="N60" s="80"/>
      <c r="Q60" s="78"/>
      <c r="R60" s="80"/>
      <c r="S60" s="78"/>
      <c r="T60" s="80"/>
      <c r="U60" s="78"/>
      <c r="V60" s="80"/>
      <c r="W60" s="78"/>
      <c r="X60" s="80"/>
      <c r="Y60" s="78"/>
      <c r="Z60" s="80"/>
      <c r="AA60" s="78"/>
      <c r="AB60" s="80"/>
      <c r="AC60" s="78"/>
      <c r="AD60" s="80"/>
      <c r="AE60" s="78"/>
      <c r="AF60" s="80"/>
      <c r="AG60" s="78"/>
      <c r="AH60" s="80"/>
      <c r="AI60" s="78"/>
      <c r="AJ60" s="80"/>
      <c r="AK60" s="78"/>
      <c r="AL60" s="80"/>
      <c r="AM60" s="78"/>
      <c r="AN60" s="80"/>
      <c r="AO60" s="76"/>
      <c r="AP60" s="72"/>
      <c r="AQ60" s="69"/>
      <c r="AR60" s="72"/>
      <c r="AS60" s="69"/>
      <c r="AT60" s="72"/>
      <c r="AU60" s="69"/>
      <c r="AV60" s="72"/>
      <c r="AW60" s="69"/>
      <c r="AX60" s="72"/>
      <c r="AY60" s="69"/>
      <c r="AZ60" s="72"/>
      <c r="BA60" s="69"/>
      <c r="BB60" s="72"/>
      <c r="BC60" s="69"/>
      <c r="BD60" s="72"/>
      <c r="BE60" s="69"/>
      <c r="BF60" s="72"/>
      <c r="BG60" s="69"/>
      <c r="BH60" s="72"/>
      <c r="BI60" s="69"/>
      <c r="BJ60" s="72"/>
      <c r="BK60" s="69"/>
      <c r="BL60" s="72"/>
      <c r="BM60" s="69"/>
      <c r="BN60" s="72"/>
      <c r="BO60" s="69"/>
      <c r="BP60" s="72"/>
    </row>
    <row r="61" spans="1:68" s="1" customFormat="1" hidden="1" x14ac:dyDescent="0.25">
      <c r="A61" s="23"/>
      <c r="B61" s="23"/>
      <c r="C61" s="78"/>
      <c r="D61" s="78"/>
      <c r="F61" s="113" t="s">
        <v>112</v>
      </c>
      <c r="G61" s="78">
        <f>IF(E64=TRUE,1.3,1)</f>
        <v>1</v>
      </c>
      <c r="H61" s="83"/>
      <c r="I61" s="83"/>
      <c r="J61" s="83"/>
      <c r="K61" s="78"/>
      <c r="L61" s="80"/>
      <c r="M61" s="78"/>
      <c r="N61" s="80"/>
      <c r="Q61" s="78"/>
      <c r="R61" s="80"/>
      <c r="S61" s="78"/>
      <c r="T61" s="80"/>
      <c r="U61" s="78"/>
      <c r="V61" s="80"/>
      <c r="W61" s="78"/>
      <c r="X61" s="80"/>
      <c r="Y61" s="78"/>
      <c r="Z61" s="80"/>
      <c r="AA61" s="78"/>
      <c r="AB61" s="80"/>
      <c r="AC61" s="78"/>
      <c r="AD61" s="80"/>
      <c r="AE61" s="78"/>
      <c r="AF61" s="80"/>
      <c r="AG61" s="78"/>
      <c r="AH61" s="80"/>
      <c r="AI61" s="78"/>
      <c r="AJ61" s="80"/>
      <c r="AK61" s="78"/>
      <c r="AL61" s="80"/>
      <c r="AM61" s="78"/>
      <c r="AN61" s="80"/>
      <c r="AO61" s="77"/>
      <c r="AP61" s="73"/>
      <c r="AQ61" s="71"/>
      <c r="AR61" s="73"/>
      <c r="AS61" s="71"/>
      <c r="AT61" s="73"/>
      <c r="AU61" s="71"/>
      <c r="AV61" s="73"/>
      <c r="AW61" s="71"/>
      <c r="AX61" s="73"/>
      <c r="AY61" s="71"/>
      <c r="AZ61" s="73"/>
      <c r="BA61" s="71"/>
      <c r="BB61" s="73"/>
      <c r="BC61" s="71"/>
      <c r="BD61" s="73"/>
      <c r="BE61" s="71"/>
      <c r="BF61" s="73"/>
      <c r="BG61" s="71"/>
      <c r="BH61" s="73"/>
      <c r="BI61" s="71"/>
      <c r="BJ61" s="73"/>
      <c r="BK61" s="71"/>
      <c r="BL61" s="73"/>
      <c r="BM61" s="71"/>
      <c r="BN61" s="73"/>
      <c r="BO61" s="71"/>
      <c r="BP61" s="73"/>
    </row>
    <row r="62" spans="1:68" ht="15" hidden="1" customHeight="1" x14ac:dyDescent="0.25">
      <c r="B62" s="99" t="s">
        <v>110</v>
      </c>
      <c r="C62" s="111">
        <v>2</v>
      </c>
      <c r="D62" s="78" t="s">
        <v>100</v>
      </c>
      <c r="E62" s="78"/>
      <c r="F62" s="78" t="s">
        <v>91</v>
      </c>
      <c r="G62" s="99">
        <f>G60*G61</f>
        <v>4000</v>
      </c>
      <c r="H62" s="23"/>
      <c r="I62" s="83"/>
      <c r="J62" s="23"/>
      <c r="K62" s="78"/>
      <c r="L62" s="23"/>
      <c r="M62" s="78"/>
      <c r="N62" s="23"/>
      <c r="Q62" s="78"/>
      <c r="R62" s="23"/>
      <c r="S62" s="78"/>
      <c r="T62" s="23"/>
      <c r="U62" s="78"/>
      <c r="V62" s="23"/>
      <c r="W62" s="78"/>
      <c r="X62" s="23"/>
      <c r="Y62" s="78"/>
      <c r="Z62" s="23"/>
      <c r="AA62" s="78"/>
      <c r="AB62" s="23"/>
      <c r="AC62" s="78"/>
      <c r="AD62" s="23"/>
      <c r="AE62" s="78"/>
      <c r="AF62" s="23"/>
      <c r="AG62" s="78"/>
      <c r="AH62" s="23"/>
      <c r="AI62" s="78"/>
      <c r="AJ62" s="23"/>
      <c r="AK62" s="78"/>
      <c r="AL62" s="23"/>
      <c r="AM62" s="78"/>
      <c r="AN62" s="23"/>
      <c r="AO62" s="76"/>
      <c r="AP62" s="68"/>
      <c r="AQ62" s="69"/>
      <c r="AR62" s="68"/>
      <c r="AS62" s="69"/>
      <c r="AT62" s="68"/>
      <c r="AU62" s="69"/>
      <c r="AV62" s="68"/>
      <c r="AW62" s="69"/>
      <c r="AX62" s="68"/>
      <c r="AY62" s="69"/>
      <c r="AZ62" s="68"/>
      <c r="BA62" s="69"/>
      <c r="BB62" s="68"/>
      <c r="BC62" s="69"/>
      <c r="BD62" s="68"/>
      <c r="BE62" s="69"/>
      <c r="BF62" s="68"/>
      <c r="BG62" s="69"/>
      <c r="BH62" s="68"/>
      <c r="BI62" s="69"/>
      <c r="BJ62" s="68"/>
      <c r="BK62" s="69"/>
      <c r="BL62" s="68"/>
      <c r="BM62" s="69"/>
      <c r="BN62" s="68"/>
      <c r="BO62" s="69"/>
      <c r="BP62" s="68"/>
    </row>
    <row r="63" spans="1:68" ht="15" hidden="1" customHeight="1" x14ac:dyDescent="0.25">
      <c r="A63" s="99">
        <v>1000</v>
      </c>
      <c r="B63" s="99">
        <f>CEILING(C63,8)/8</f>
        <v>1</v>
      </c>
      <c r="C63" s="112">
        <f>A63/$G$77+$C$42</f>
        <v>2.25</v>
      </c>
      <c r="D63" s="78" t="s">
        <v>80</v>
      </c>
      <c r="E63" s="78" t="b">
        <v>0</v>
      </c>
      <c r="F63" s="108">
        <v>1</v>
      </c>
      <c r="G63" s="78">
        <f>IF(E63=TRUE,F63,1)</f>
        <v>1</v>
      </c>
      <c r="H63" s="23"/>
      <c r="I63" s="78"/>
      <c r="J63" s="23"/>
      <c r="K63" s="78"/>
      <c r="L63" s="23"/>
      <c r="M63" s="78"/>
      <c r="N63" s="23"/>
      <c r="Q63" s="78"/>
      <c r="R63" s="23"/>
      <c r="S63" s="78"/>
      <c r="T63" s="23"/>
      <c r="U63" s="78"/>
      <c r="V63" s="23"/>
      <c r="W63" s="78"/>
      <c r="X63" s="23"/>
      <c r="Y63" s="78"/>
      <c r="Z63" s="23"/>
      <c r="AA63" s="78"/>
      <c r="AB63" s="23"/>
      <c r="AC63" s="78"/>
      <c r="AD63" s="23"/>
      <c r="AE63" s="78"/>
      <c r="AF63" s="23"/>
      <c r="AG63" s="78"/>
      <c r="AH63" s="23"/>
      <c r="AI63" s="78"/>
      <c r="AJ63" s="23"/>
      <c r="AK63" s="78"/>
      <c r="AL63" s="23"/>
      <c r="AM63" s="78"/>
      <c r="AN63" s="23"/>
      <c r="AO63" s="77"/>
      <c r="AP63" s="70"/>
      <c r="AQ63" s="71"/>
      <c r="AR63" s="70"/>
      <c r="AS63" s="71"/>
      <c r="AT63" s="70"/>
      <c r="AU63" s="71"/>
      <c r="AV63" s="70"/>
      <c r="AW63" s="71"/>
      <c r="AX63" s="70"/>
      <c r="AY63" s="71"/>
      <c r="AZ63" s="70"/>
      <c r="BA63" s="71"/>
      <c r="BB63" s="70"/>
      <c r="BC63" s="71"/>
      <c r="BD63" s="70"/>
      <c r="BE63" s="71"/>
      <c r="BF63" s="70"/>
      <c r="BG63" s="71"/>
      <c r="BH63" s="70"/>
      <c r="BI63" s="71"/>
      <c r="BJ63" s="70"/>
      <c r="BK63" s="71"/>
      <c r="BL63" s="70"/>
      <c r="BM63" s="71"/>
      <c r="BN63" s="70"/>
      <c r="BO63" s="71"/>
      <c r="BP63" s="70"/>
    </row>
    <row r="64" spans="1:68" ht="15" hidden="1" customHeight="1" x14ac:dyDescent="0.25">
      <c r="A64" s="99">
        <v>2500</v>
      </c>
      <c r="B64" s="99">
        <f t="shared" ref="B64:B75" si="11">CEILING(C64,8)/8</f>
        <v>1</v>
      </c>
      <c r="C64" s="112">
        <f t="shared" ref="C64:C75" si="12">A64/$G$77+$C$42</f>
        <v>2.625</v>
      </c>
      <c r="D64" s="78" t="s">
        <v>81</v>
      </c>
      <c r="E64" s="78" t="b">
        <v>0</v>
      </c>
      <c r="F64" s="108">
        <v>0.5</v>
      </c>
      <c r="G64" s="78">
        <f>IF(E64=TRUE,F64,1)</f>
        <v>1</v>
      </c>
      <c r="H64" s="23"/>
      <c r="I64" s="78"/>
      <c r="J64" s="23"/>
      <c r="K64" s="78"/>
      <c r="L64" s="23"/>
      <c r="M64" s="78"/>
      <c r="N64" s="23"/>
      <c r="Q64" s="78"/>
      <c r="R64" s="23"/>
      <c r="S64" s="78"/>
      <c r="T64" s="23"/>
      <c r="U64" s="78"/>
      <c r="V64" s="23"/>
      <c r="W64" s="78"/>
      <c r="X64" s="23"/>
      <c r="Y64" s="78"/>
      <c r="Z64" s="23"/>
      <c r="AA64" s="78"/>
      <c r="AB64" s="23"/>
      <c r="AC64" s="78"/>
      <c r="AD64" s="23"/>
      <c r="AE64" s="78"/>
      <c r="AF64" s="23"/>
      <c r="AG64" s="78"/>
      <c r="AH64" s="23"/>
      <c r="AI64" s="78"/>
      <c r="AJ64" s="23"/>
      <c r="AK64" s="78"/>
      <c r="AL64" s="23"/>
      <c r="AM64" s="78"/>
      <c r="AN64" s="23"/>
      <c r="AO64" s="76"/>
      <c r="AP64" s="68"/>
      <c r="AQ64" s="69"/>
      <c r="AR64" s="68"/>
      <c r="AS64" s="69"/>
      <c r="AT64" s="68"/>
      <c r="AU64" s="69"/>
      <c r="AV64" s="68"/>
      <c r="AW64" s="69"/>
      <c r="AX64" s="68"/>
      <c r="AY64" s="69"/>
      <c r="AZ64" s="68"/>
      <c r="BA64" s="69"/>
      <c r="BB64" s="68"/>
      <c r="BC64" s="69"/>
      <c r="BD64" s="68"/>
      <c r="BE64" s="69"/>
      <c r="BF64" s="68"/>
      <c r="BG64" s="69"/>
      <c r="BH64" s="68"/>
      <c r="BI64" s="69"/>
      <c r="BJ64" s="68"/>
      <c r="BK64" s="69"/>
      <c r="BL64" s="68"/>
      <c r="BM64" s="69"/>
      <c r="BN64" s="68"/>
      <c r="BO64" s="69"/>
      <c r="BP64" s="68"/>
    </row>
    <row r="65" spans="1:68" ht="15" hidden="1" customHeight="1" x14ac:dyDescent="0.25">
      <c r="A65" s="111">
        <v>5000</v>
      </c>
      <c r="B65" s="99">
        <f t="shared" si="11"/>
        <v>1</v>
      </c>
      <c r="C65" s="112">
        <f t="shared" si="12"/>
        <v>3.25</v>
      </c>
      <c r="D65" s="78" t="s">
        <v>82</v>
      </c>
      <c r="E65" s="78" t="b">
        <v>0</v>
      </c>
      <c r="F65" s="108">
        <v>1</v>
      </c>
      <c r="G65" s="78">
        <f t="shared" ref="G65:G75" si="13">IF(E65=TRUE,F65,1)</f>
        <v>1</v>
      </c>
      <c r="H65" s="80"/>
      <c r="I65" s="78"/>
      <c r="J65" s="80"/>
      <c r="K65" s="78"/>
      <c r="L65" s="23"/>
      <c r="M65" s="78"/>
      <c r="N65" s="23"/>
      <c r="Q65" s="78"/>
      <c r="R65" s="23"/>
      <c r="S65" s="78"/>
      <c r="T65" s="23"/>
      <c r="U65" s="78"/>
      <c r="V65" s="23"/>
      <c r="W65" s="78"/>
      <c r="X65" s="23"/>
      <c r="Y65" s="78"/>
      <c r="Z65" s="23"/>
      <c r="AA65" s="78"/>
      <c r="AB65" s="23"/>
      <c r="AC65" s="78"/>
      <c r="AD65" s="23"/>
      <c r="AE65" s="78"/>
      <c r="AF65" s="23"/>
      <c r="AG65" s="78"/>
      <c r="AH65" s="23"/>
      <c r="AI65" s="78"/>
      <c r="AJ65" s="23"/>
      <c r="AK65" s="78"/>
      <c r="AL65" s="23"/>
      <c r="AM65" s="78"/>
      <c r="AN65" s="23"/>
      <c r="AO65" s="77"/>
      <c r="AP65" s="70"/>
      <c r="AQ65" s="71"/>
      <c r="AR65" s="70"/>
      <c r="AS65" s="71"/>
      <c r="AT65" s="70"/>
      <c r="AU65" s="71"/>
      <c r="AV65" s="70"/>
      <c r="AW65" s="71"/>
      <c r="AX65" s="70"/>
      <c r="AY65" s="71"/>
      <c r="AZ65" s="70"/>
      <c r="BA65" s="71"/>
      <c r="BB65" s="70"/>
      <c r="BC65" s="71"/>
      <c r="BD65" s="70"/>
      <c r="BE65" s="71"/>
      <c r="BF65" s="70"/>
      <c r="BG65" s="71"/>
      <c r="BH65" s="70"/>
      <c r="BI65" s="71"/>
      <c r="BJ65" s="70"/>
      <c r="BK65" s="71"/>
      <c r="BL65" s="70"/>
      <c r="BM65" s="71"/>
      <c r="BN65" s="70"/>
      <c r="BO65" s="71"/>
      <c r="BP65" s="70"/>
    </row>
    <row r="66" spans="1:68" ht="15" hidden="1" customHeight="1" x14ac:dyDescent="0.25">
      <c r="A66" s="111">
        <v>10000</v>
      </c>
      <c r="B66" s="99">
        <f t="shared" si="11"/>
        <v>1</v>
      </c>
      <c r="C66" s="112">
        <f t="shared" si="12"/>
        <v>4.5</v>
      </c>
      <c r="D66" s="78" t="s">
        <v>83</v>
      </c>
      <c r="E66" s="78" t="b">
        <v>0</v>
      </c>
      <c r="F66" s="108">
        <v>0.5</v>
      </c>
      <c r="G66" s="78">
        <f t="shared" si="13"/>
        <v>1</v>
      </c>
      <c r="H66" s="80"/>
      <c r="I66" s="78"/>
      <c r="J66" s="80"/>
      <c r="K66" s="78"/>
      <c r="L66" s="80"/>
      <c r="M66" s="78"/>
      <c r="N66" s="80"/>
      <c r="Q66" s="78"/>
      <c r="R66" s="80"/>
      <c r="S66" s="78"/>
      <c r="T66" s="80"/>
      <c r="U66" s="78"/>
      <c r="V66" s="80"/>
      <c r="W66" s="78"/>
      <c r="X66" s="80"/>
      <c r="Y66" s="78"/>
      <c r="Z66" s="80"/>
      <c r="AA66" s="78"/>
      <c r="AB66" s="80"/>
      <c r="AC66" s="78"/>
      <c r="AD66" s="80"/>
      <c r="AE66" s="78"/>
      <c r="AF66" s="80"/>
      <c r="AG66" s="78"/>
      <c r="AH66" s="80"/>
      <c r="AI66" s="78"/>
      <c r="AJ66" s="80"/>
      <c r="AK66" s="78"/>
      <c r="AL66" s="80"/>
      <c r="AM66" s="78"/>
      <c r="AN66" s="80"/>
      <c r="AO66" s="76"/>
      <c r="AP66" s="72"/>
      <c r="AQ66" s="69"/>
      <c r="AR66" s="72"/>
      <c r="AS66" s="69"/>
      <c r="AT66" s="72"/>
      <c r="AU66" s="69"/>
      <c r="AV66" s="72"/>
      <c r="AW66" s="69"/>
      <c r="AX66" s="72"/>
      <c r="AY66" s="69"/>
      <c r="AZ66" s="72"/>
      <c r="BA66" s="69"/>
      <c r="BB66" s="72"/>
      <c r="BC66" s="69"/>
      <c r="BD66" s="72"/>
      <c r="BE66" s="69"/>
      <c r="BF66" s="72"/>
      <c r="BG66" s="69"/>
      <c r="BH66" s="72"/>
      <c r="BI66" s="69"/>
      <c r="BJ66" s="72"/>
      <c r="BK66" s="69"/>
      <c r="BL66" s="72"/>
      <c r="BM66" s="69"/>
      <c r="BN66" s="72"/>
      <c r="BO66" s="69"/>
      <c r="BP66" s="72"/>
    </row>
    <row r="67" spans="1:68" ht="15" hidden="1" customHeight="1" x14ac:dyDescent="0.25">
      <c r="A67" s="111">
        <v>15000</v>
      </c>
      <c r="B67" s="99">
        <f t="shared" si="11"/>
        <v>1</v>
      </c>
      <c r="C67" s="112">
        <f t="shared" si="12"/>
        <v>5.75</v>
      </c>
      <c r="D67" s="78" t="s">
        <v>84</v>
      </c>
      <c r="E67" s="78" t="b">
        <v>0</v>
      </c>
      <c r="F67" s="108">
        <v>1</v>
      </c>
      <c r="G67" s="78">
        <f t="shared" si="13"/>
        <v>1</v>
      </c>
      <c r="H67" s="23"/>
      <c r="I67" s="78"/>
      <c r="J67" s="23"/>
      <c r="K67" s="78"/>
      <c r="L67" s="80"/>
      <c r="M67" s="78"/>
      <c r="N67" s="80"/>
      <c r="Q67" s="78"/>
      <c r="R67" s="80"/>
      <c r="S67" s="78"/>
      <c r="T67" s="80"/>
      <c r="U67" s="78"/>
      <c r="V67" s="80"/>
      <c r="W67" s="78"/>
      <c r="X67" s="80"/>
      <c r="Y67" s="78"/>
      <c r="Z67" s="80"/>
      <c r="AA67" s="78"/>
      <c r="AB67" s="80"/>
      <c r="AC67" s="78"/>
      <c r="AD67" s="80"/>
      <c r="AE67" s="78"/>
      <c r="AF67" s="80"/>
      <c r="AG67" s="78"/>
      <c r="AH67" s="80"/>
      <c r="AI67" s="78"/>
      <c r="AJ67" s="80"/>
      <c r="AK67" s="78"/>
      <c r="AL67" s="80"/>
      <c r="AM67" s="78"/>
      <c r="AN67" s="80"/>
      <c r="AO67" s="77"/>
      <c r="AP67" s="73"/>
      <c r="AQ67" s="71"/>
      <c r="AR67" s="73"/>
      <c r="AS67" s="71"/>
      <c r="AT67" s="73"/>
      <c r="AU67" s="71"/>
      <c r="AV67" s="73"/>
      <c r="AW67" s="71"/>
      <c r="AX67" s="73"/>
      <c r="AY67" s="71"/>
      <c r="AZ67" s="73"/>
      <c r="BA67" s="71"/>
      <c r="BB67" s="73"/>
      <c r="BC67" s="71"/>
      <c r="BD67" s="73"/>
      <c r="BE67" s="71"/>
      <c r="BF67" s="73"/>
      <c r="BG67" s="71"/>
      <c r="BH67" s="73"/>
      <c r="BI67" s="71"/>
      <c r="BJ67" s="73"/>
      <c r="BK67" s="71"/>
      <c r="BL67" s="73"/>
      <c r="BM67" s="71"/>
      <c r="BN67" s="73"/>
      <c r="BO67" s="71"/>
      <c r="BP67" s="73"/>
    </row>
    <row r="68" spans="1:68" ht="15" hidden="1" customHeight="1" x14ac:dyDescent="0.25">
      <c r="A68" s="111">
        <v>20000</v>
      </c>
      <c r="B68" s="99">
        <f t="shared" si="11"/>
        <v>1</v>
      </c>
      <c r="C68" s="112">
        <f t="shared" si="12"/>
        <v>7</v>
      </c>
      <c r="D68" s="78" t="s">
        <v>85</v>
      </c>
      <c r="E68" s="78" t="b">
        <v>0</v>
      </c>
      <c r="F68" s="108">
        <v>0.8</v>
      </c>
      <c r="G68" s="78">
        <f t="shared" si="13"/>
        <v>1</v>
      </c>
      <c r="H68" s="23"/>
      <c r="I68" s="78"/>
      <c r="J68" s="23"/>
      <c r="K68" s="78"/>
      <c r="L68" s="23"/>
      <c r="M68" s="78"/>
      <c r="N68" s="23"/>
      <c r="Q68" s="78"/>
      <c r="R68" s="23"/>
      <c r="S68" s="78"/>
      <c r="T68" s="23"/>
      <c r="U68" s="78"/>
      <c r="V68" s="23"/>
      <c r="W68" s="78"/>
      <c r="X68" s="23"/>
      <c r="Y68" s="78"/>
      <c r="Z68" s="23"/>
      <c r="AA68" s="78"/>
      <c r="AB68" s="23"/>
      <c r="AC68" s="78"/>
      <c r="AD68" s="23"/>
      <c r="AE68" s="78"/>
      <c r="AF68" s="23"/>
      <c r="AG68" s="78"/>
      <c r="AH68" s="23"/>
      <c r="AI68" s="78"/>
      <c r="AJ68" s="23"/>
      <c r="AK68" s="78"/>
      <c r="AL68" s="23"/>
      <c r="AM68" s="78"/>
      <c r="AN68" s="23"/>
      <c r="AO68" s="76"/>
      <c r="AP68" s="68"/>
      <c r="AQ68" s="69"/>
      <c r="AR68" s="68"/>
      <c r="AS68" s="69"/>
      <c r="AT68" s="68"/>
      <c r="AU68" s="69"/>
      <c r="AV68" s="68"/>
      <c r="AW68" s="69"/>
      <c r="AX68" s="68"/>
      <c r="AY68" s="69"/>
      <c r="AZ68" s="68"/>
      <c r="BA68" s="69"/>
      <c r="BB68" s="68"/>
      <c r="BC68" s="69"/>
      <c r="BD68" s="68"/>
      <c r="BE68" s="69"/>
      <c r="BF68" s="68"/>
      <c r="BG68" s="69"/>
      <c r="BH68" s="68"/>
      <c r="BI68" s="69"/>
      <c r="BJ68" s="68"/>
      <c r="BK68" s="69"/>
      <c r="BL68" s="68"/>
      <c r="BM68" s="69"/>
      <c r="BN68" s="68"/>
      <c r="BO68" s="69"/>
      <c r="BP68" s="68"/>
    </row>
    <row r="69" spans="1:68" ht="15" hidden="1" customHeight="1" x14ac:dyDescent="0.25">
      <c r="A69" s="111">
        <v>25000</v>
      </c>
      <c r="B69" s="99">
        <f t="shared" si="11"/>
        <v>2</v>
      </c>
      <c r="C69" s="112">
        <f t="shared" si="12"/>
        <v>8.25</v>
      </c>
      <c r="D69" s="78" t="s">
        <v>92</v>
      </c>
      <c r="E69" s="78" t="b">
        <v>0</v>
      </c>
      <c r="F69" s="108">
        <v>6</v>
      </c>
      <c r="G69" s="78">
        <f t="shared" si="13"/>
        <v>1</v>
      </c>
      <c r="H69" s="23"/>
      <c r="I69" s="78"/>
      <c r="J69" s="23"/>
      <c r="K69" s="78"/>
      <c r="L69" s="23"/>
      <c r="M69" s="78"/>
      <c r="N69" s="23"/>
      <c r="Q69" s="78"/>
      <c r="R69" s="23"/>
      <c r="S69" s="78"/>
      <c r="T69" s="23"/>
      <c r="U69" s="78"/>
      <c r="V69" s="23"/>
      <c r="W69" s="78"/>
      <c r="X69" s="23"/>
      <c r="Y69" s="78"/>
      <c r="Z69" s="23"/>
      <c r="AA69" s="78"/>
      <c r="AB69" s="23"/>
      <c r="AC69" s="78"/>
      <c r="AD69" s="23"/>
      <c r="AE69" s="78"/>
      <c r="AF69" s="23"/>
      <c r="AG69" s="78"/>
      <c r="AH69" s="23"/>
      <c r="AI69" s="78"/>
      <c r="AJ69" s="23"/>
      <c r="AK69" s="78"/>
      <c r="AL69" s="23"/>
      <c r="AM69" s="78"/>
      <c r="AN69" s="23"/>
      <c r="AO69" s="77"/>
      <c r="AP69" s="70"/>
      <c r="AQ69" s="71"/>
      <c r="AR69" s="70"/>
      <c r="AS69" s="71"/>
      <c r="AT69" s="70"/>
      <c r="AU69" s="71"/>
      <c r="AV69" s="70"/>
      <c r="AW69" s="71"/>
      <c r="AX69" s="70"/>
      <c r="AY69" s="71"/>
      <c r="AZ69" s="70"/>
      <c r="BA69" s="71"/>
      <c r="BB69" s="70"/>
      <c r="BC69" s="71"/>
      <c r="BD69" s="70"/>
      <c r="BE69" s="71"/>
      <c r="BF69" s="70"/>
      <c r="BG69" s="71"/>
      <c r="BH69" s="70"/>
      <c r="BI69" s="71"/>
      <c r="BJ69" s="70"/>
      <c r="BK69" s="71"/>
      <c r="BL69" s="70"/>
      <c r="BM69" s="71"/>
      <c r="BN69" s="70"/>
      <c r="BO69" s="71"/>
      <c r="BP69" s="70"/>
    </row>
    <row r="70" spans="1:68" ht="15" hidden="1" customHeight="1" x14ac:dyDescent="0.25">
      <c r="A70" s="99">
        <v>30000</v>
      </c>
      <c r="B70" s="99">
        <f t="shared" si="11"/>
        <v>2</v>
      </c>
      <c r="C70" s="112">
        <f t="shared" si="12"/>
        <v>9.5</v>
      </c>
      <c r="D70" s="78" t="s">
        <v>93</v>
      </c>
      <c r="E70" s="78" t="b">
        <v>0</v>
      </c>
      <c r="F70" s="108">
        <v>2</v>
      </c>
      <c r="G70" s="78">
        <f t="shared" si="13"/>
        <v>1</v>
      </c>
      <c r="H70" s="23"/>
      <c r="I70" s="78"/>
      <c r="J70" s="23"/>
      <c r="K70" s="78"/>
      <c r="L70" s="23"/>
      <c r="M70" s="78"/>
      <c r="N70" s="23"/>
      <c r="Q70" s="78"/>
      <c r="R70" s="23"/>
      <c r="S70" s="78"/>
      <c r="T70" s="23"/>
      <c r="U70" s="78"/>
      <c r="V70" s="23"/>
      <c r="W70" s="78"/>
      <c r="X70" s="23"/>
      <c r="Y70" s="78"/>
      <c r="Z70" s="23"/>
      <c r="AA70" s="78"/>
      <c r="AB70" s="23"/>
      <c r="AC70" s="78"/>
      <c r="AD70" s="23"/>
      <c r="AE70" s="78"/>
      <c r="AF70" s="23"/>
      <c r="AG70" s="78"/>
      <c r="AH70" s="23"/>
      <c r="AI70" s="78"/>
      <c r="AJ70" s="23"/>
      <c r="AK70" s="78"/>
      <c r="AL70" s="23"/>
      <c r="AM70" s="78"/>
      <c r="AN70" s="23"/>
      <c r="AO70" s="76"/>
      <c r="AP70" s="68"/>
      <c r="AQ70" s="69"/>
      <c r="AR70" s="68"/>
      <c r="AS70" s="69"/>
      <c r="AT70" s="68"/>
      <c r="AU70" s="69"/>
      <c r="AV70" s="68"/>
      <c r="AW70" s="69"/>
      <c r="AX70" s="68"/>
      <c r="AY70" s="69"/>
      <c r="AZ70" s="68"/>
      <c r="BA70" s="69"/>
      <c r="BB70" s="68"/>
      <c r="BC70" s="69"/>
      <c r="BD70" s="68"/>
      <c r="BE70" s="69"/>
      <c r="BF70" s="68"/>
      <c r="BG70" s="69"/>
      <c r="BH70" s="68"/>
      <c r="BI70" s="69"/>
      <c r="BJ70" s="68"/>
      <c r="BK70" s="69"/>
      <c r="BL70" s="68"/>
      <c r="BM70" s="69"/>
      <c r="BN70" s="68"/>
      <c r="BO70" s="69"/>
      <c r="BP70" s="68"/>
    </row>
    <row r="71" spans="1:68" ht="15" hidden="1" customHeight="1" x14ac:dyDescent="0.25">
      <c r="A71" s="99">
        <v>40000</v>
      </c>
      <c r="B71" s="99">
        <f t="shared" si="11"/>
        <v>2</v>
      </c>
      <c r="C71" s="112">
        <f t="shared" si="12"/>
        <v>12</v>
      </c>
      <c r="D71" s="78" t="s">
        <v>94</v>
      </c>
      <c r="E71" s="78" t="b">
        <v>0</v>
      </c>
      <c r="F71" s="108">
        <v>1</v>
      </c>
      <c r="G71" s="78">
        <f t="shared" si="13"/>
        <v>1</v>
      </c>
      <c r="H71" s="80"/>
      <c r="I71" s="78"/>
      <c r="J71" s="80"/>
      <c r="K71" s="78"/>
      <c r="L71" s="23"/>
      <c r="M71" s="78"/>
      <c r="N71" s="23"/>
      <c r="Q71" s="78"/>
      <c r="R71" s="23"/>
      <c r="S71" s="78"/>
      <c r="T71" s="23"/>
      <c r="U71" s="78"/>
      <c r="V71" s="23"/>
      <c r="W71" s="78"/>
      <c r="X71" s="23"/>
      <c r="Y71" s="78"/>
      <c r="Z71" s="23"/>
      <c r="AA71" s="78"/>
      <c r="AB71" s="23"/>
      <c r="AC71" s="78"/>
      <c r="AD71" s="23"/>
      <c r="AE71" s="78"/>
      <c r="AF71" s="23"/>
      <c r="AG71" s="78"/>
      <c r="AH71" s="23"/>
      <c r="AI71" s="78"/>
      <c r="AJ71" s="23"/>
      <c r="AK71" s="78"/>
      <c r="AL71" s="23"/>
      <c r="AM71" s="78"/>
      <c r="AN71" s="23"/>
      <c r="AO71" s="77"/>
      <c r="AP71" s="70"/>
      <c r="AQ71" s="71"/>
      <c r="AR71" s="70"/>
      <c r="AS71" s="71"/>
      <c r="AT71" s="70"/>
      <c r="AU71" s="71"/>
      <c r="AV71" s="70"/>
      <c r="AW71" s="71"/>
      <c r="AX71" s="70"/>
      <c r="AY71" s="71"/>
      <c r="AZ71" s="70"/>
      <c r="BA71" s="71"/>
      <c r="BB71" s="70"/>
      <c r="BC71" s="71"/>
      <c r="BD71" s="70"/>
      <c r="BE71" s="71"/>
      <c r="BF71" s="70"/>
      <c r="BG71" s="71"/>
      <c r="BH71" s="70"/>
      <c r="BI71" s="71"/>
      <c r="BJ71" s="70"/>
      <c r="BK71" s="71"/>
      <c r="BL71" s="70"/>
      <c r="BM71" s="71"/>
      <c r="BN71" s="70"/>
      <c r="BO71" s="71"/>
      <c r="BP71" s="70"/>
    </row>
    <row r="72" spans="1:68" ht="15" hidden="1" customHeight="1" x14ac:dyDescent="0.25">
      <c r="A72" s="99">
        <v>50000</v>
      </c>
      <c r="B72" s="99">
        <f t="shared" si="11"/>
        <v>2</v>
      </c>
      <c r="C72" s="112">
        <f t="shared" si="12"/>
        <v>14.5</v>
      </c>
      <c r="D72" s="111" t="s">
        <v>98</v>
      </c>
      <c r="E72" s="78" t="b">
        <v>0</v>
      </c>
      <c r="F72" s="108">
        <v>4</v>
      </c>
      <c r="G72" s="78">
        <f t="shared" si="13"/>
        <v>1</v>
      </c>
      <c r="H72" s="80"/>
      <c r="I72" s="78"/>
      <c r="J72" s="80"/>
      <c r="K72" s="78"/>
      <c r="L72" s="80"/>
      <c r="M72" s="78"/>
      <c r="N72" s="80"/>
      <c r="Q72" s="78"/>
      <c r="R72" s="80"/>
      <c r="S72" s="78"/>
      <c r="T72" s="80"/>
      <c r="U72" s="78"/>
      <c r="V72" s="80"/>
      <c r="W72" s="78"/>
      <c r="X72" s="80"/>
      <c r="Y72" s="78"/>
      <c r="Z72" s="80"/>
      <c r="AA72" s="78"/>
      <c r="AB72" s="80"/>
      <c r="AC72" s="78"/>
      <c r="AD72" s="80"/>
      <c r="AE72" s="78"/>
      <c r="AF72" s="80"/>
      <c r="AG72" s="78"/>
      <c r="AH72" s="80"/>
      <c r="AI72" s="78"/>
      <c r="AJ72" s="80"/>
      <c r="AK72" s="78"/>
      <c r="AL72" s="80"/>
      <c r="AM72" s="78"/>
      <c r="AN72" s="80"/>
      <c r="AO72" s="76"/>
      <c r="AP72" s="72"/>
      <c r="AQ72" s="69"/>
      <c r="AR72" s="72"/>
      <c r="AS72" s="69"/>
      <c r="AT72" s="72"/>
      <c r="AU72" s="69"/>
      <c r="AV72" s="72"/>
      <c r="AW72" s="69"/>
      <c r="AX72" s="72"/>
      <c r="AY72" s="69"/>
      <c r="AZ72" s="72"/>
      <c r="BA72" s="69"/>
      <c r="BB72" s="72"/>
      <c r="BC72" s="69"/>
      <c r="BD72" s="72"/>
      <c r="BE72" s="69"/>
      <c r="BF72" s="72"/>
      <c r="BG72" s="69"/>
      <c r="BH72" s="72"/>
      <c r="BI72" s="69"/>
      <c r="BJ72" s="72"/>
      <c r="BK72" s="69"/>
      <c r="BL72" s="72"/>
      <c r="BM72" s="69"/>
      <c r="BN72" s="72"/>
      <c r="BO72" s="69"/>
      <c r="BP72" s="72"/>
    </row>
    <row r="73" spans="1:68" ht="15" hidden="1" customHeight="1" x14ac:dyDescent="0.25">
      <c r="A73" s="99">
        <v>75000</v>
      </c>
      <c r="B73" s="99">
        <f t="shared" si="11"/>
        <v>3</v>
      </c>
      <c r="C73" s="112">
        <f t="shared" si="12"/>
        <v>20.75</v>
      </c>
      <c r="D73" s="111" t="s">
        <v>97</v>
      </c>
      <c r="E73" s="23" t="b">
        <v>0</v>
      </c>
      <c r="F73" s="108">
        <v>9</v>
      </c>
      <c r="G73" s="78">
        <f t="shared" si="13"/>
        <v>1</v>
      </c>
      <c r="H73" s="23"/>
      <c r="I73" s="78"/>
      <c r="J73" s="23"/>
      <c r="K73" s="78"/>
      <c r="L73" s="80"/>
      <c r="M73" s="78"/>
      <c r="N73" s="80"/>
      <c r="Q73" s="78"/>
      <c r="R73" s="80"/>
      <c r="S73" s="78"/>
      <c r="T73" s="80"/>
      <c r="U73" s="78"/>
      <c r="V73" s="80"/>
      <c r="W73" s="78"/>
      <c r="X73" s="80"/>
      <c r="Y73" s="78"/>
      <c r="Z73" s="80"/>
      <c r="AA73" s="78"/>
      <c r="AB73" s="80"/>
      <c r="AC73" s="78"/>
      <c r="AD73" s="80"/>
      <c r="AE73" s="78"/>
      <c r="AF73" s="80"/>
      <c r="AG73" s="78"/>
      <c r="AH73" s="80"/>
      <c r="AI73" s="78"/>
      <c r="AJ73" s="80"/>
      <c r="AK73" s="78"/>
      <c r="AL73" s="80"/>
      <c r="AM73" s="78"/>
      <c r="AN73" s="80"/>
      <c r="AO73" s="77"/>
      <c r="AP73" s="73"/>
      <c r="AQ73" s="71"/>
      <c r="AR73" s="73"/>
      <c r="AS73" s="71"/>
      <c r="AT73" s="73"/>
      <c r="AU73" s="71"/>
      <c r="AV73" s="73"/>
      <c r="AW73" s="71"/>
      <c r="AX73" s="73"/>
      <c r="AY73" s="71"/>
      <c r="AZ73" s="73"/>
      <c r="BA73" s="71"/>
      <c r="BB73" s="73"/>
      <c r="BC73" s="71"/>
      <c r="BD73" s="73"/>
      <c r="BE73" s="71"/>
      <c r="BF73" s="73"/>
      <c r="BG73" s="71"/>
      <c r="BH73" s="73"/>
      <c r="BI73" s="71"/>
      <c r="BJ73" s="73"/>
      <c r="BK73" s="71"/>
      <c r="BL73" s="73"/>
      <c r="BM73" s="71"/>
      <c r="BN73" s="73"/>
      <c r="BO73" s="71"/>
      <c r="BP73" s="73"/>
    </row>
    <row r="74" spans="1:68" ht="15" hidden="1" customHeight="1" x14ac:dyDescent="0.25">
      <c r="A74" s="99">
        <v>100000</v>
      </c>
      <c r="B74" s="99">
        <f t="shared" si="11"/>
        <v>4</v>
      </c>
      <c r="C74" s="112">
        <f t="shared" si="12"/>
        <v>27</v>
      </c>
      <c r="D74" s="78" t="s">
        <v>99</v>
      </c>
      <c r="E74" s="23" t="b">
        <v>0</v>
      </c>
      <c r="F74" s="108">
        <v>0.9</v>
      </c>
      <c r="G74" s="78">
        <f t="shared" si="13"/>
        <v>1</v>
      </c>
      <c r="H74" s="23"/>
      <c r="I74" s="78"/>
      <c r="J74" s="23"/>
      <c r="K74" s="78"/>
      <c r="L74" s="23"/>
      <c r="M74" s="78"/>
      <c r="N74" s="23"/>
      <c r="Q74" s="78"/>
      <c r="R74" s="23"/>
      <c r="S74" s="78"/>
      <c r="T74" s="23"/>
      <c r="U74" s="78"/>
      <c r="V74" s="23"/>
      <c r="W74" s="78"/>
      <c r="X74" s="23"/>
      <c r="Y74" s="78"/>
      <c r="Z74" s="23"/>
      <c r="AA74" s="78"/>
      <c r="AB74" s="23"/>
      <c r="AC74" s="78"/>
      <c r="AD74" s="23"/>
      <c r="AE74" s="78"/>
      <c r="AF74" s="23"/>
      <c r="AG74" s="78"/>
      <c r="AH74" s="23"/>
      <c r="AI74" s="78"/>
      <c r="AJ74" s="23"/>
      <c r="AK74" s="78"/>
      <c r="AL74" s="23"/>
      <c r="AM74" s="78"/>
      <c r="AN74" s="23"/>
      <c r="AO74" s="76"/>
      <c r="AP74" s="68"/>
      <c r="AQ74" s="69"/>
      <c r="AR74" s="68"/>
      <c r="AS74" s="69"/>
      <c r="AT74" s="68"/>
      <c r="AU74" s="69"/>
      <c r="AV74" s="68"/>
      <c r="AW74" s="69"/>
      <c r="AX74" s="68"/>
      <c r="AY74" s="69"/>
      <c r="AZ74" s="68"/>
      <c r="BA74" s="69"/>
      <c r="BB74" s="68"/>
      <c r="BC74" s="69"/>
      <c r="BD74" s="68"/>
      <c r="BE74" s="69"/>
      <c r="BF74" s="68"/>
      <c r="BG74" s="69"/>
      <c r="BH74" s="68"/>
      <c r="BI74" s="69"/>
      <c r="BJ74" s="68"/>
      <c r="BK74" s="69"/>
      <c r="BL74" s="68"/>
      <c r="BM74" s="69"/>
      <c r="BN74" s="68"/>
      <c r="BO74" s="69"/>
      <c r="BP74" s="68"/>
    </row>
    <row r="75" spans="1:68" ht="15" hidden="1" customHeight="1" x14ac:dyDescent="0.25">
      <c r="A75" s="99">
        <v>150000</v>
      </c>
      <c r="B75" s="99">
        <f t="shared" si="11"/>
        <v>5</v>
      </c>
      <c r="C75" s="112">
        <f t="shared" si="12"/>
        <v>39.5</v>
      </c>
      <c r="D75" s="78" t="s">
        <v>105</v>
      </c>
      <c r="E75" s="23" t="b">
        <v>0</v>
      </c>
      <c r="F75" s="108">
        <v>1</v>
      </c>
      <c r="G75" s="78">
        <f t="shared" si="13"/>
        <v>1</v>
      </c>
      <c r="H75" s="23"/>
      <c r="I75" s="78"/>
      <c r="J75" s="23"/>
      <c r="K75" s="78"/>
      <c r="L75" s="23"/>
      <c r="M75" s="78"/>
      <c r="N75" s="23"/>
      <c r="Q75" s="78"/>
      <c r="R75" s="23"/>
      <c r="S75" s="78"/>
      <c r="T75" s="23"/>
      <c r="U75" s="78"/>
      <c r="V75" s="23"/>
      <c r="W75" s="78"/>
      <c r="X75" s="23"/>
      <c r="Y75" s="78"/>
      <c r="Z75" s="23"/>
      <c r="AA75" s="78"/>
      <c r="AB75" s="23"/>
      <c r="AC75" s="78"/>
      <c r="AD75" s="23"/>
      <c r="AE75" s="78"/>
      <c r="AF75" s="23"/>
      <c r="AG75" s="78"/>
      <c r="AH75" s="23"/>
      <c r="AI75" s="78"/>
      <c r="AJ75" s="23"/>
      <c r="AK75" s="78"/>
      <c r="AL75" s="23"/>
      <c r="AM75" s="78"/>
      <c r="AN75" s="23"/>
      <c r="AO75" s="77"/>
      <c r="AP75" s="70"/>
      <c r="AQ75" s="71"/>
      <c r="AR75" s="70"/>
      <c r="AS75" s="71"/>
      <c r="AT75" s="70"/>
      <c r="AU75" s="71"/>
      <c r="AV75" s="70"/>
      <c r="AW75" s="71"/>
      <c r="AX75" s="70"/>
      <c r="AY75" s="71"/>
      <c r="AZ75" s="70"/>
      <c r="BA75" s="71"/>
      <c r="BB75" s="70"/>
      <c r="BC75" s="71"/>
      <c r="BD75" s="70"/>
      <c r="BE75" s="71"/>
      <c r="BF75" s="70"/>
      <c r="BG75" s="71"/>
      <c r="BH75" s="70"/>
      <c r="BI75" s="71"/>
      <c r="BJ75" s="70"/>
      <c r="BK75" s="71"/>
      <c r="BL75" s="70"/>
      <c r="BM75" s="71"/>
      <c r="BN75" s="70"/>
      <c r="BO75" s="71"/>
      <c r="BP75" s="70"/>
    </row>
    <row r="76" spans="1:68" ht="15" hidden="1" customHeight="1" x14ac:dyDescent="0.25">
      <c r="A76" s="99"/>
      <c r="C76" s="99"/>
      <c r="E76" s="23"/>
      <c r="F76" s="23"/>
      <c r="G76" s="78">
        <f>G63*G64*G65*G66*G67*G68*G69*G70*G71*G72*G73*G74*G75</f>
        <v>1</v>
      </c>
      <c r="H76" s="23"/>
      <c r="I76" s="78"/>
      <c r="J76" s="23"/>
      <c r="K76" s="78"/>
      <c r="L76" s="23"/>
      <c r="M76" s="78"/>
      <c r="N76" s="23"/>
      <c r="Q76" s="78"/>
      <c r="R76" s="23"/>
      <c r="S76" s="78"/>
      <c r="T76" s="23"/>
      <c r="U76" s="78"/>
      <c r="V76" s="23"/>
      <c r="W76" s="78"/>
      <c r="X76" s="23"/>
      <c r="Y76" s="78"/>
      <c r="Z76" s="23"/>
      <c r="AA76" s="78"/>
      <c r="AB76" s="23"/>
      <c r="AC76" s="78"/>
      <c r="AD76" s="23"/>
      <c r="AE76" s="78"/>
      <c r="AF76" s="23"/>
      <c r="AG76" s="78"/>
      <c r="AH76" s="23"/>
      <c r="AI76" s="78"/>
      <c r="AJ76" s="23"/>
      <c r="AK76" s="78"/>
      <c r="AL76" s="23"/>
      <c r="AM76" s="78"/>
      <c r="AN76" s="23"/>
      <c r="AO76" s="76"/>
      <c r="AP76" s="68"/>
      <c r="AQ76" s="69"/>
      <c r="AR76" s="68"/>
      <c r="AS76" s="69"/>
      <c r="AT76" s="68"/>
      <c r="AU76" s="69"/>
      <c r="AV76" s="68"/>
      <c r="AW76" s="69"/>
      <c r="AX76" s="68"/>
      <c r="AY76" s="69"/>
      <c r="AZ76" s="68"/>
      <c r="BA76" s="69"/>
      <c r="BB76" s="68"/>
      <c r="BC76" s="69"/>
      <c r="BD76" s="68"/>
      <c r="BE76" s="69"/>
      <c r="BF76" s="68"/>
      <c r="BG76" s="69"/>
      <c r="BH76" s="68"/>
      <c r="BI76" s="69"/>
      <c r="BJ76" s="68"/>
      <c r="BK76" s="69"/>
      <c r="BL76" s="68"/>
      <c r="BM76" s="69"/>
      <c r="BN76" s="68"/>
      <c r="BO76" s="69"/>
      <c r="BP76" s="68"/>
    </row>
    <row r="77" spans="1:68" ht="15" hidden="1" customHeight="1" x14ac:dyDescent="0.25">
      <c r="F77" s="111" t="s">
        <v>109</v>
      </c>
      <c r="G77" s="111">
        <f>G62*G76</f>
        <v>4000</v>
      </c>
      <c r="H77" s="80"/>
      <c r="I77" s="78"/>
      <c r="J77" s="80"/>
      <c r="K77" s="78"/>
      <c r="L77" s="23"/>
      <c r="M77" s="78"/>
      <c r="N77" s="23"/>
      <c r="Q77" s="78"/>
      <c r="R77" s="23"/>
      <c r="S77" s="78"/>
      <c r="T77" s="23"/>
      <c r="U77" s="78"/>
      <c r="V77" s="23"/>
      <c r="W77" s="78"/>
      <c r="X77" s="23"/>
      <c r="Y77" s="78"/>
      <c r="Z77" s="23"/>
      <c r="AA77" s="78"/>
      <c r="AB77" s="23"/>
      <c r="AC77" s="78"/>
      <c r="AD77" s="23"/>
      <c r="AE77" s="78"/>
      <c r="AF77" s="23"/>
      <c r="AG77" s="78"/>
      <c r="AH77" s="23"/>
      <c r="AI77" s="78"/>
      <c r="AJ77" s="23"/>
      <c r="AK77" s="78"/>
      <c r="AL77" s="23"/>
      <c r="AM77" s="78"/>
      <c r="AN77" s="23"/>
      <c r="AO77" s="77"/>
      <c r="AP77" s="70"/>
      <c r="AQ77" s="71"/>
      <c r="AR77" s="70"/>
      <c r="AS77" s="71"/>
      <c r="AT77" s="70"/>
      <c r="AU77" s="71"/>
      <c r="AV77" s="70"/>
      <c r="AW77" s="71"/>
      <c r="AX77" s="70"/>
      <c r="AY77" s="71"/>
      <c r="AZ77" s="70"/>
      <c r="BA77" s="71"/>
      <c r="BB77" s="70"/>
      <c r="BC77" s="71"/>
      <c r="BD77" s="70"/>
      <c r="BE77" s="71"/>
      <c r="BF77" s="70"/>
      <c r="BG77" s="71"/>
      <c r="BH77" s="70"/>
      <c r="BI77" s="71"/>
      <c r="BJ77" s="70"/>
      <c r="BK77" s="71"/>
      <c r="BL77" s="70"/>
      <c r="BM77" s="71"/>
      <c r="BN77" s="70"/>
      <c r="BO77" s="71"/>
      <c r="BP77" s="70"/>
    </row>
    <row r="78" spans="1:68" ht="15" customHeight="1" thickBot="1" x14ac:dyDescent="0.3">
      <c r="A78" s="96"/>
      <c r="B78" s="96"/>
      <c r="C78" s="78"/>
      <c r="D78" s="81"/>
      <c r="E78" s="78"/>
      <c r="F78" s="81"/>
      <c r="G78" s="78"/>
      <c r="H78" s="80"/>
      <c r="I78" s="78"/>
      <c r="J78" s="80"/>
      <c r="K78" s="78"/>
      <c r="L78" s="80"/>
      <c r="M78" s="78"/>
      <c r="N78" s="80"/>
      <c r="Q78" s="78"/>
      <c r="R78" s="80"/>
      <c r="S78" s="78"/>
      <c r="T78" s="80"/>
      <c r="U78" s="78"/>
      <c r="V78" s="80"/>
      <c r="W78" s="78"/>
      <c r="X78" s="80"/>
      <c r="Y78" s="78"/>
      <c r="Z78" s="80"/>
      <c r="AA78" s="78"/>
      <c r="AB78" s="80"/>
      <c r="AC78" s="78"/>
      <c r="AD78" s="80"/>
      <c r="AE78" s="78"/>
      <c r="AF78" s="80"/>
      <c r="AG78" s="78"/>
      <c r="AH78" s="80"/>
      <c r="AI78" s="78"/>
      <c r="AJ78" s="80"/>
      <c r="AK78" s="78"/>
      <c r="AL78" s="80"/>
      <c r="AM78" s="78"/>
      <c r="AN78" s="80"/>
      <c r="AO78" s="76"/>
      <c r="AP78" s="72"/>
      <c r="AQ78" s="69"/>
      <c r="AR78" s="72"/>
      <c r="AS78" s="69"/>
      <c r="AT78" s="72"/>
      <c r="AU78" s="69"/>
      <c r="AV78" s="72"/>
      <c r="AW78" s="69"/>
      <c r="AX78" s="72"/>
      <c r="AY78" s="69"/>
      <c r="AZ78" s="72"/>
      <c r="BA78" s="69"/>
      <c r="BB78" s="72"/>
      <c r="BC78" s="69"/>
      <c r="BD78" s="72"/>
      <c r="BE78" s="69"/>
      <c r="BF78" s="72"/>
      <c r="BG78" s="69"/>
      <c r="BH78" s="72"/>
      <c r="BI78" s="69"/>
      <c r="BJ78" s="72"/>
      <c r="BK78" s="69"/>
      <c r="BL78" s="72"/>
      <c r="BM78" s="69"/>
      <c r="BN78" s="72"/>
      <c r="BO78" s="69"/>
      <c r="BP78" s="72"/>
    </row>
    <row r="79" spans="1:68" ht="15" customHeight="1" x14ac:dyDescent="0.25">
      <c r="A79" s="168" t="s">
        <v>164</v>
      </c>
      <c r="B79" s="145"/>
      <c r="C79" s="146"/>
      <c r="D79" s="147"/>
      <c r="E79" s="146"/>
      <c r="F79" s="147"/>
      <c r="G79" s="146"/>
      <c r="H79" s="148"/>
      <c r="I79" s="146"/>
      <c r="J79" s="148"/>
      <c r="K79" s="146"/>
      <c r="L79" s="148"/>
      <c r="M79" s="149"/>
      <c r="N79" s="80"/>
      <c r="Q79" s="78"/>
      <c r="R79" s="80"/>
      <c r="S79" s="78"/>
      <c r="T79" s="80"/>
      <c r="U79" s="78"/>
      <c r="V79" s="80"/>
      <c r="W79" s="78"/>
      <c r="X79" s="80"/>
      <c r="Y79" s="78"/>
      <c r="Z79" s="80"/>
      <c r="AA79" s="78"/>
      <c r="AB79" s="80"/>
      <c r="AC79" s="78"/>
      <c r="AD79" s="80"/>
      <c r="AE79" s="78"/>
      <c r="AF79" s="80"/>
      <c r="AG79" s="78"/>
      <c r="AH79" s="80"/>
      <c r="AI79" s="78"/>
      <c r="AJ79" s="80"/>
      <c r="AK79" s="78"/>
      <c r="AL79" s="80"/>
      <c r="AM79" s="78"/>
      <c r="AN79" s="80"/>
      <c r="AO79" s="77"/>
      <c r="AP79" s="73"/>
      <c r="AQ79" s="71"/>
      <c r="AR79" s="73"/>
      <c r="AS79" s="71"/>
      <c r="AT79" s="73"/>
      <c r="AU79" s="71"/>
      <c r="AV79" s="73"/>
      <c r="AW79" s="71"/>
      <c r="AX79" s="73"/>
      <c r="AY79" s="71"/>
      <c r="AZ79" s="73"/>
      <c r="BA79" s="71"/>
      <c r="BB79" s="73"/>
      <c r="BC79" s="71"/>
      <c r="BD79" s="73"/>
      <c r="BE79" s="71"/>
      <c r="BF79" s="73"/>
      <c r="BG79" s="71"/>
      <c r="BH79" s="73"/>
      <c r="BI79" s="71"/>
      <c r="BJ79" s="73"/>
      <c r="BK79" s="71"/>
      <c r="BL79" s="73"/>
      <c r="BM79" s="71"/>
      <c r="BN79" s="73"/>
      <c r="BO79" s="71"/>
      <c r="BP79" s="73"/>
    </row>
    <row r="80" spans="1:68" ht="15" hidden="1" customHeight="1" x14ac:dyDescent="0.25">
      <c r="A80" s="135"/>
      <c r="B80" s="136"/>
      <c r="C80" s="93" t="s">
        <v>0</v>
      </c>
      <c r="D80" s="6" t="s">
        <v>71</v>
      </c>
      <c r="E80" s="6" t="s">
        <v>70</v>
      </c>
      <c r="F80" s="6" t="s">
        <v>4</v>
      </c>
      <c r="G80" s="6" t="s">
        <v>72</v>
      </c>
      <c r="H80" s="6" t="s">
        <v>73</v>
      </c>
      <c r="I80" s="6" t="s">
        <v>74</v>
      </c>
      <c r="J80" s="6" t="s">
        <v>75</v>
      </c>
      <c r="K80" s="6" t="s">
        <v>76</v>
      </c>
      <c r="L80" s="6" t="s">
        <v>77</v>
      </c>
      <c r="M80" s="150" t="s">
        <v>78</v>
      </c>
      <c r="N80" s="23"/>
      <c r="O80" s="78"/>
      <c r="P80" s="105"/>
      <c r="Q80" s="78"/>
      <c r="R80" s="23"/>
      <c r="S80" s="78"/>
      <c r="T80" s="23"/>
      <c r="U80" s="78"/>
      <c r="V80" s="23"/>
      <c r="W80" s="78"/>
      <c r="X80" s="23"/>
      <c r="Y80" s="78"/>
      <c r="Z80" s="23"/>
      <c r="AA80" s="78"/>
      <c r="AB80" s="23"/>
      <c r="AC80" s="78"/>
      <c r="AD80" s="23"/>
      <c r="AE80" s="78"/>
      <c r="AF80" s="23"/>
      <c r="AG80" s="78"/>
      <c r="AH80" s="23"/>
      <c r="AI80" s="78"/>
      <c r="AJ80" s="23"/>
      <c r="AK80" s="78"/>
      <c r="AL80" s="23"/>
      <c r="AM80" s="78"/>
      <c r="AN80" s="23"/>
      <c r="AO80" s="76"/>
      <c r="AP80" s="68"/>
      <c r="AQ80" s="69"/>
      <c r="AR80" s="68"/>
      <c r="AS80" s="69"/>
      <c r="AT80" s="68"/>
      <c r="AU80" s="69"/>
      <c r="AV80" s="68"/>
      <c r="AW80" s="69"/>
      <c r="AX80" s="68"/>
      <c r="AY80" s="69"/>
      <c r="AZ80" s="68"/>
      <c r="BA80" s="69"/>
      <c r="BB80" s="68"/>
      <c r="BC80" s="69"/>
      <c r="BD80" s="68"/>
      <c r="BE80" s="69"/>
      <c r="BF80" s="68"/>
      <c r="BG80" s="69"/>
      <c r="BH80" s="68"/>
      <c r="BI80" s="69"/>
      <c r="BJ80" s="68"/>
      <c r="BK80" s="69"/>
      <c r="BL80" s="68"/>
      <c r="BM80" s="69"/>
      <c r="BN80" s="68"/>
      <c r="BO80" s="69"/>
      <c r="BP80" s="68"/>
    </row>
    <row r="81" spans="1:68" ht="15" hidden="1" customHeight="1" x14ac:dyDescent="0.25">
      <c r="A81" s="151" t="s">
        <v>5</v>
      </c>
      <c r="B81" s="74"/>
      <c r="C81" s="5">
        <v>10000</v>
      </c>
      <c r="D81" s="5">
        <v>5000</v>
      </c>
      <c r="E81" s="5">
        <v>1250</v>
      </c>
      <c r="F81" s="5">
        <v>3000</v>
      </c>
      <c r="G81" s="5">
        <v>1800</v>
      </c>
      <c r="H81" s="5">
        <v>1500</v>
      </c>
      <c r="I81" s="5">
        <v>800</v>
      </c>
      <c r="J81" s="5">
        <v>1700</v>
      </c>
      <c r="K81" s="5">
        <v>1200</v>
      </c>
      <c r="L81" s="5">
        <v>800</v>
      </c>
      <c r="M81" s="152">
        <v>600</v>
      </c>
      <c r="N81" s="23"/>
      <c r="O81" s="78"/>
      <c r="P81" s="105"/>
      <c r="Q81" s="78"/>
      <c r="R81" s="23"/>
      <c r="S81" s="78"/>
      <c r="T81" s="23"/>
      <c r="U81" s="78"/>
      <c r="V81" s="23"/>
      <c r="W81" s="78"/>
      <c r="X81" s="23"/>
      <c r="Y81" s="78"/>
      <c r="Z81" s="23"/>
      <c r="AA81" s="78"/>
      <c r="AB81" s="23"/>
      <c r="AC81" s="78"/>
      <c r="AD81" s="23"/>
      <c r="AE81" s="78"/>
      <c r="AF81" s="23"/>
      <c r="AG81" s="78"/>
      <c r="AH81" s="23"/>
      <c r="AI81" s="78"/>
      <c r="AJ81" s="23"/>
      <c r="AK81" s="78"/>
      <c r="AL81" s="23"/>
      <c r="AM81" s="78"/>
      <c r="AN81" s="23"/>
      <c r="AO81" s="77"/>
      <c r="AP81" s="70"/>
      <c r="AQ81" s="71"/>
      <c r="AR81" s="70"/>
      <c r="AS81" s="71"/>
      <c r="AT81" s="70"/>
      <c r="AU81" s="71"/>
      <c r="AV81" s="70"/>
      <c r="AW81" s="71"/>
      <c r="AX81" s="70"/>
      <c r="AY81" s="71"/>
      <c r="AZ81" s="70"/>
      <c r="BA81" s="71"/>
      <c r="BB81" s="70"/>
      <c r="BC81" s="71"/>
      <c r="BD81" s="70"/>
      <c r="BE81" s="71"/>
      <c r="BF81" s="70"/>
      <c r="BG81" s="71"/>
      <c r="BH81" s="70"/>
      <c r="BI81" s="71"/>
      <c r="BJ81" s="70"/>
      <c r="BK81" s="71"/>
      <c r="BL81" s="70"/>
      <c r="BM81" s="71"/>
      <c r="BN81" s="70"/>
      <c r="BO81" s="71"/>
      <c r="BP81" s="70"/>
    </row>
    <row r="82" spans="1:68" ht="15" hidden="1" customHeight="1" x14ac:dyDescent="0.25">
      <c r="A82" s="153" t="s">
        <v>7</v>
      </c>
      <c r="B82" s="75" t="s">
        <v>157</v>
      </c>
      <c r="C82" s="172" t="s">
        <v>159</v>
      </c>
      <c r="D82" s="172"/>
      <c r="E82" s="172"/>
      <c r="F82" s="172"/>
      <c r="G82" s="172"/>
      <c r="H82" s="172"/>
      <c r="I82" s="172"/>
      <c r="J82" s="172"/>
      <c r="K82" s="172"/>
      <c r="L82" s="172"/>
      <c r="M82" s="154"/>
      <c r="N82" s="80"/>
      <c r="O82" s="78"/>
      <c r="P82" s="106"/>
      <c r="Q82" s="78"/>
      <c r="R82" s="80"/>
      <c r="S82" s="78"/>
      <c r="T82" s="80"/>
      <c r="U82" s="78"/>
      <c r="V82" s="80"/>
      <c r="W82" s="78"/>
      <c r="X82" s="80"/>
      <c r="Y82" s="78"/>
      <c r="Z82" s="80"/>
      <c r="AA82" s="78"/>
      <c r="AB82" s="80"/>
      <c r="AC82" s="78"/>
      <c r="AD82" s="80"/>
      <c r="AE82" s="78"/>
      <c r="AF82" s="80"/>
      <c r="AG82" s="78"/>
      <c r="AH82" s="80"/>
      <c r="AI82" s="78"/>
      <c r="AJ82" s="80"/>
      <c r="AK82" s="78"/>
      <c r="AL82" s="80"/>
      <c r="AM82" s="78"/>
      <c r="AN82" s="80"/>
      <c r="AO82" s="76"/>
      <c r="AP82" s="72"/>
      <c r="AQ82" s="69"/>
      <c r="AR82" s="72"/>
      <c r="AS82" s="69"/>
      <c r="AT82" s="72"/>
      <c r="AU82" s="69"/>
      <c r="AV82" s="72"/>
      <c r="AW82" s="69"/>
      <c r="AX82" s="72"/>
      <c r="AY82" s="69"/>
      <c r="AZ82" s="72"/>
      <c r="BA82" s="69"/>
      <c r="BB82" s="72"/>
      <c r="BC82" s="69"/>
      <c r="BD82" s="72"/>
      <c r="BE82" s="69"/>
      <c r="BF82" s="72"/>
      <c r="BG82" s="69"/>
      <c r="BH82" s="72"/>
      <c r="BI82" s="69"/>
      <c r="BJ82" s="72"/>
      <c r="BK82" s="69"/>
      <c r="BL82" s="72"/>
      <c r="BM82" s="69"/>
      <c r="BN82" s="72"/>
      <c r="BO82" s="69"/>
      <c r="BP82" s="72"/>
    </row>
    <row r="83" spans="1:68" ht="15" hidden="1" customHeight="1" x14ac:dyDescent="0.25">
      <c r="A83" s="155">
        <v>1000</v>
      </c>
      <c r="B83" s="156"/>
      <c r="C83" s="95">
        <v>3</v>
      </c>
      <c r="D83" s="95">
        <v>3</v>
      </c>
      <c r="E83" s="95">
        <v>3</v>
      </c>
      <c r="F83" s="95">
        <v>3</v>
      </c>
      <c r="G83" s="95">
        <v>4</v>
      </c>
      <c r="H83" s="95">
        <v>4</v>
      </c>
      <c r="I83" s="95">
        <v>3</v>
      </c>
      <c r="J83" s="95">
        <v>4</v>
      </c>
      <c r="K83" s="95">
        <v>5</v>
      </c>
      <c r="L83" s="95">
        <v>5</v>
      </c>
      <c r="M83" s="157">
        <v>6</v>
      </c>
      <c r="N83" s="80"/>
      <c r="O83" s="78"/>
      <c r="P83" s="106"/>
      <c r="Q83" s="78"/>
      <c r="R83" s="80"/>
      <c r="S83" s="78"/>
      <c r="T83" s="80"/>
      <c r="U83" s="78"/>
      <c r="V83" s="80"/>
      <c r="W83" s="78"/>
      <c r="X83" s="80"/>
      <c r="Y83" s="78"/>
      <c r="Z83" s="80"/>
      <c r="AA83" s="78"/>
      <c r="AB83" s="80"/>
      <c r="AC83" s="78"/>
      <c r="AD83" s="80"/>
      <c r="AE83" s="78"/>
      <c r="AF83" s="80"/>
      <c r="AG83" s="78"/>
      <c r="AH83" s="80"/>
      <c r="AI83" s="78"/>
      <c r="AJ83" s="80"/>
      <c r="AK83" s="78"/>
      <c r="AL83" s="80"/>
      <c r="AM83" s="78"/>
      <c r="AN83" s="80"/>
      <c r="AO83" s="77"/>
      <c r="AP83" s="73"/>
      <c r="AQ83" s="71"/>
      <c r="AR83" s="73"/>
      <c r="AS83" s="71"/>
      <c r="AT83" s="73"/>
      <c r="AU83" s="71"/>
      <c r="AV83" s="73"/>
      <c r="AW83" s="71"/>
      <c r="AX83" s="73"/>
      <c r="AY83" s="71"/>
      <c r="AZ83" s="73"/>
      <c r="BA83" s="71"/>
      <c r="BB83" s="73"/>
      <c r="BC83" s="71"/>
      <c r="BD83" s="73"/>
      <c r="BE83" s="71"/>
      <c r="BF83" s="73"/>
      <c r="BG83" s="71"/>
      <c r="BH83" s="73"/>
      <c r="BI83" s="71"/>
      <c r="BJ83" s="73"/>
      <c r="BK83" s="71"/>
      <c r="BL83" s="73"/>
      <c r="BM83" s="71"/>
      <c r="BN83" s="73"/>
      <c r="BO83" s="71"/>
      <c r="BP83" s="73"/>
    </row>
    <row r="84" spans="1:68" ht="15" hidden="1" customHeight="1" x14ac:dyDescent="0.25">
      <c r="A84" s="158">
        <v>2500</v>
      </c>
      <c r="B84" s="156"/>
      <c r="C84" s="95">
        <v>3</v>
      </c>
      <c r="D84" s="95">
        <v>3</v>
      </c>
      <c r="E84" s="95">
        <v>3</v>
      </c>
      <c r="F84" s="95">
        <v>3</v>
      </c>
      <c r="G84" s="95">
        <v>4</v>
      </c>
      <c r="H84" s="95">
        <v>4</v>
      </c>
      <c r="I84" s="95">
        <v>3</v>
      </c>
      <c r="J84" s="95">
        <v>4</v>
      </c>
      <c r="K84" s="95">
        <v>5</v>
      </c>
      <c r="L84" s="95">
        <v>5</v>
      </c>
      <c r="M84" s="157">
        <v>6</v>
      </c>
      <c r="N84" s="80"/>
      <c r="O84" s="78"/>
      <c r="P84" s="106"/>
      <c r="Q84" s="78"/>
      <c r="R84" s="80"/>
      <c r="S84" s="78"/>
      <c r="T84" s="80"/>
      <c r="U84" s="78"/>
      <c r="V84" s="80"/>
      <c r="W84" s="78"/>
      <c r="X84" s="80"/>
      <c r="Y84" s="78"/>
      <c r="Z84" s="80"/>
      <c r="AA84" s="78"/>
      <c r="AB84" s="80"/>
      <c r="AC84" s="78"/>
      <c r="AD84" s="80"/>
      <c r="AE84" s="78"/>
      <c r="AF84" s="80"/>
      <c r="AG84" s="78"/>
      <c r="AH84" s="80"/>
      <c r="AI84" s="78"/>
      <c r="AJ84" s="80"/>
      <c r="AK84" s="78"/>
      <c r="AL84" s="80"/>
      <c r="AM84" s="78"/>
      <c r="AN84" s="80"/>
      <c r="AO84" s="76"/>
      <c r="AP84" s="72"/>
      <c r="AQ84" s="69"/>
      <c r="AR84" s="72"/>
      <c r="AS84" s="69"/>
      <c r="AT84" s="72"/>
      <c r="AU84" s="69"/>
      <c r="AV84" s="72"/>
      <c r="AW84" s="69"/>
      <c r="AX84" s="72"/>
      <c r="AY84" s="69"/>
      <c r="AZ84" s="72"/>
      <c r="BA84" s="69"/>
      <c r="BB84" s="72"/>
      <c r="BC84" s="69"/>
      <c r="BD84" s="72"/>
      <c r="BE84" s="69"/>
      <c r="BF84" s="72"/>
      <c r="BG84" s="69"/>
      <c r="BH84" s="72"/>
      <c r="BI84" s="69"/>
      <c r="BJ84" s="72"/>
      <c r="BK84" s="69"/>
      <c r="BL84" s="72"/>
      <c r="BM84" s="69"/>
      <c r="BN84" s="72"/>
      <c r="BO84" s="69"/>
      <c r="BP84" s="72"/>
    </row>
    <row r="85" spans="1:68" ht="15" hidden="1" customHeight="1" x14ac:dyDescent="0.25">
      <c r="A85" s="155">
        <v>5000</v>
      </c>
      <c r="B85" s="156"/>
      <c r="C85" s="95">
        <v>3</v>
      </c>
      <c r="D85" s="95">
        <v>3</v>
      </c>
      <c r="E85" s="95">
        <v>3</v>
      </c>
      <c r="F85" s="95">
        <v>3</v>
      </c>
      <c r="G85" s="95">
        <v>4</v>
      </c>
      <c r="H85" s="95">
        <v>4</v>
      </c>
      <c r="I85" s="95">
        <v>3</v>
      </c>
      <c r="J85" s="95">
        <v>4</v>
      </c>
      <c r="K85" s="95">
        <v>6</v>
      </c>
      <c r="L85" s="95">
        <v>6</v>
      </c>
      <c r="M85" s="157">
        <v>6</v>
      </c>
      <c r="N85" s="80"/>
      <c r="O85" s="78"/>
      <c r="P85" s="106"/>
      <c r="Q85" s="78"/>
      <c r="R85" s="80"/>
      <c r="S85" s="78"/>
      <c r="T85" s="80"/>
      <c r="U85" s="78"/>
      <c r="V85" s="80"/>
      <c r="W85" s="78"/>
      <c r="X85" s="80"/>
      <c r="Y85" s="78"/>
      <c r="Z85" s="80"/>
      <c r="AA85" s="78"/>
      <c r="AB85" s="80"/>
      <c r="AC85" s="78"/>
      <c r="AD85" s="80"/>
      <c r="AE85" s="78"/>
      <c r="AF85" s="80"/>
      <c r="AG85" s="78"/>
      <c r="AH85" s="80"/>
      <c r="AI85" s="78"/>
      <c r="AJ85" s="80"/>
      <c r="AK85" s="78"/>
      <c r="AL85" s="80"/>
      <c r="AM85" s="78"/>
      <c r="AN85" s="80"/>
      <c r="AO85" s="77"/>
      <c r="AP85" s="73"/>
      <c r="AQ85" s="71"/>
      <c r="AR85" s="73"/>
      <c r="AS85" s="71"/>
      <c r="AT85" s="73"/>
      <c r="AU85" s="71"/>
      <c r="AV85" s="73"/>
      <c r="AW85" s="71"/>
      <c r="AX85" s="73"/>
      <c r="AY85" s="71"/>
      <c r="AZ85" s="73"/>
      <c r="BA85" s="71"/>
      <c r="BB85" s="73"/>
      <c r="BC85" s="71"/>
      <c r="BD85" s="73"/>
      <c r="BE85" s="71"/>
      <c r="BF85" s="73"/>
      <c r="BG85" s="71"/>
      <c r="BH85" s="73"/>
      <c r="BI85" s="71"/>
      <c r="BJ85" s="73"/>
      <c r="BK85" s="71"/>
      <c r="BL85" s="73"/>
      <c r="BM85" s="71"/>
      <c r="BN85" s="73"/>
      <c r="BO85" s="71"/>
      <c r="BP85" s="73"/>
    </row>
    <row r="86" spans="1:68" hidden="1" x14ac:dyDescent="0.25">
      <c r="A86" s="158">
        <v>10000</v>
      </c>
      <c r="B86" s="156"/>
      <c r="C86" s="95">
        <v>3</v>
      </c>
      <c r="D86" s="95">
        <v>3</v>
      </c>
      <c r="E86" s="95">
        <v>3</v>
      </c>
      <c r="F86" s="95">
        <v>3</v>
      </c>
      <c r="G86" s="95">
        <v>4</v>
      </c>
      <c r="H86" s="95">
        <v>4</v>
      </c>
      <c r="I86" s="95">
        <v>4</v>
      </c>
      <c r="J86" s="95">
        <v>4</v>
      </c>
      <c r="K86" s="95">
        <v>6</v>
      </c>
      <c r="L86" s="95">
        <v>6</v>
      </c>
      <c r="M86" s="157">
        <v>6</v>
      </c>
      <c r="N86" s="23"/>
      <c r="O86" s="23"/>
      <c r="P86" s="105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</row>
    <row r="87" spans="1:68" hidden="1" x14ac:dyDescent="0.25">
      <c r="A87" s="155">
        <v>15000</v>
      </c>
      <c r="B87" s="156"/>
      <c r="C87" s="95">
        <v>3</v>
      </c>
      <c r="D87" s="95">
        <v>3</v>
      </c>
      <c r="E87" s="95">
        <v>4</v>
      </c>
      <c r="F87" s="95">
        <v>3</v>
      </c>
      <c r="G87" s="95">
        <v>4</v>
      </c>
      <c r="H87" s="95">
        <v>4</v>
      </c>
      <c r="I87" s="95">
        <v>5</v>
      </c>
      <c r="J87" s="95">
        <v>4</v>
      </c>
      <c r="K87" s="95">
        <v>6</v>
      </c>
      <c r="L87" s="95">
        <v>6</v>
      </c>
      <c r="M87" s="157">
        <v>6</v>
      </c>
      <c r="N87" s="23"/>
      <c r="O87" s="23"/>
      <c r="P87" s="105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</row>
    <row r="88" spans="1:68" hidden="1" x14ac:dyDescent="0.25">
      <c r="A88" s="158">
        <v>20000</v>
      </c>
      <c r="B88" s="156"/>
      <c r="C88" s="95">
        <v>3</v>
      </c>
      <c r="D88" s="95">
        <v>3</v>
      </c>
      <c r="E88" s="95">
        <v>4</v>
      </c>
      <c r="F88" s="95">
        <v>3</v>
      </c>
      <c r="G88" s="95">
        <v>4</v>
      </c>
      <c r="H88" s="95">
        <v>5</v>
      </c>
      <c r="I88" s="95">
        <v>6</v>
      </c>
      <c r="J88" s="95">
        <v>4</v>
      </c>
      <c r="K88" s="95">
        <v>6</v>
      </c>
      <c r="L88" s="95">
        <v>6</v>
      </c>
      <c r="M88" s="157">
        <v>6</v>
      </c>
      <c r="N88" s="23"/>
      <c r="O88" s="23"/>
      <c r="P88" s="105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</row>
    <row r="89" spans="1:68" hidden="1" x14ac:dyDescent="0.25">
      <c r="A89" s="155">
        <v>25000</v>
      </c>
      <c r="B89" s="156"/>
      <c r="C89" s="95">
        <v>3</v>
      </c>
      <c r="D89" s="95">
        <v>3</v>
      </c>
      <c r="E89" s="95">
        <v>4</v>
      </c>
      <c r="F89" s="95">
        <v>4</v>
      </c>
      <c r="G89" s="95">
        <v>4</v>
      </c>
      <c r="H89" s="95">
        <v>5</v>
      </c>
      <c r="I89" s="95">
        <v>7</v>
      </c>
      <c r="J89" s="95">
        <v>4</v>
      </c>
      <c r="K89" s="95">
        <v>6</v>
      </c>
      <c r="L89" s="95">
        <v>6</v>
      </c>
      <c r="M89" s="157">
        <v>7</v>
      </c>
      <c r="N89" s="23"/>
      <c r="O89" s="23"/>
      <c r="P89" s="105"/>
      <c r="Q89" s="83"/>
      <c r="R89" s="8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</row>
    <row r="90" spans="1:68" hidden="1" x14ac:dyDescent="0.25">
      <c r="A90" s="158">
        <v>30000</v>
      </c>
      <c r="B90" s="156"/>
      <c r="C90" s="95">
        <v>3</v>
      </c>
      <c r="D90" s="95">
        <v>3</v>
      </c>
      <c r="E90" s="95">
        <v>5</v>
      </c>
      <c r="F90" s="95">
        <v>4</v>
      </c>
      <c r="G90" s="95">
        <v>5</v>
      </c>
      <c r="H90" s="95">
        <v>5</v>
      </c>
      <c r="I90" s="95">
        <v>8</v>
      </c>
      <c r="J90" s="95">
        <v>4</v>
      </c>
      <c r="K90" s="95">
        <v>7</v>
      </c>
      <c r="L90" s="95">
        <v>7</v>
      </c>
      <c r="M90" s="157">
        <v>7</v>
      </c>
      <c r="N90" s="23"/>
      <c r="O90" s="23"/>
      <c r="P90" s="105"/>
      <c r="Q90" s="83"/>
      <c r="R90" s="23"/>
      <c r="S90" s="23"/>
      <c r="T90" s="23"/>
      <c r="U90" s="83"/>
      <c r="V90" s="23"/>
      <c r="W90" s="23"/>
      <c r="X90" s="23"/>
      <c r="Y90" s="8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</row>
    <row r="91" spans="1:68" hidden="1" x14ac:dyDescent="0.25">
      <c r="A91" s="155">
        <v>40000</v>
      </c>
      <c r="B91" s="156"/>
      <c r="C91" s="95">
        <v>3</v>
      </c>
      <c r="D91" s="95">
        <v>3</v>
      </c>
      <c r="E91" s="95">
        <v>5</v>
      </c>
      <c r="F91" s="95">
        <v>4</v>
      </c>
      <c r="G91" s="95">
        <v>5</v>
      </c>
      <c r="H91" s="95">
        <v>6</v>
      </c>
      <c r="I91" s="95"/>
      <c r="J91" s="95">
        <v>5</v>
      </c>
      <c r="K91" s="95">
        <v>8</v>
      </c>
      <c r="L91" s="95">
        <v>8</v>
      </c>
      <c r="M91" s="157">
        <v>8</v>
      </c>
      <c r="N91" s="23"/>
      <c r="O91" s="23"/>
      <c r="P91" s="105"/>
      <c r="Q91" s="83"/>
      <c r="R91" s="23"/>
      <c r="S91" s="23"/>
      <c r="T91" s="23"/>
      <c r="U91" s="83"/>
      <c r="V91" s="23"/>
      <c r="W91" s="23"/>
      <c r="X91" s="23"/>
      <c r="Y91" s="8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</row>
    <row r="92" spans="1:68" hidden="1" x14ac:dyDescent="0.25">
      <c r="A92" s="158">
        <v>50000</v>
      </c>
      <c r="B92" s="156"/>
      <c r="C92" s="95">
        <v>3</v>
      </c>
      <c r="D92" s="95">
        <v>4</v>
      </c>
      <c r="E92" s="95">
        <v>6</v>
      </c>
      <c r="F92" s="95">
        <v>5</v>
      </c>
      <c r="G92" s="95">
        <v>5</v>
      </c>
      <c r="H92" s="95">
        <v>6</v>
      </c>
      <c r="I92" s="95"/>
      <c r="J92" s="95">
        <v>5</v>
      </c>
      <c r="K92" s="95">
        <v>8</v>
      </c>
      <c r="L92" s="95">
        <v>8</v>
      </c>
      <c r="M92" s="157">
        <v>8</v>
      </c>
      <c r="N92" s="23"/>
      <c r="O92" s="23"/>
      <c r="P92" s="105"/>
      <c r="Q92" s="83"/>
      <c r="R92" s="23"/>
      <c r="S92" s="23"/>
      <c r="T92" s="23"/>
      <c r="U92" s="83"/>
      <c r="V92" s="23"/>
      <c r="W92" s="23"/>
      <c r="X92" s="23"/>
      <c r="Y92" s="8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</row>
    <row r="93" spans="1:68" hidden="1" x14ac:dyDescent="0.25">
      <c r="A93" s="155">
        <v>75000</v>
      </c>
      <c r="B93" s="156"/>
      <c r="C93" s="95">
        <v>4</v>
      </c>
      <c r="D93" s="95">
        <v>4</v>
      </c>
      <c r="E93" s="95">
        <v>7</v>
      </c>
      <c r="F93" s="95">
        <v>6</v>
      </c>
      <c r="G93" s="95">
        <v>6</v>
      </c>
      <c r="H93" s="95">
        <v>6</v>
      </c>
      <c r="I93" s="95"/>
      <c r="J93" s="95">
        <v>5</v>
      </c>
      <c r="K93" s="95">
        <v>9</v>
      </c>
      <c r="L93" s="95">
        <v>9</v>
      </c>
      <c r="M93" s="157">
        <v>9</v>
      </c>
      <c r="N93" s="23"/>
      <c r="O93" s="84"/>
      <c r="P93" s="120"/>
      <c r="Q93" s="83"/>
      <c r="R93" s="83"/>
      <c r="S93" s="84"/>
      <c r="T93" s="84"/>
      <c r="U93" s="83"/>
      <c r="V93" s="83"/>
      <c r="W93" s="84"/>
      <c r="X93" s="84"/>
      <c r="Y93" s="83"/>
      <c r="Z93" s="8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</row>
    <row r="94" spans="1:68" hidden="1" x14ac:dyDescent="0.25">
      <c r="A94" s="158">
        <v>100000</v>
      </c>
      <c r="B94" s="156"/>
      <c r="C94" s="95">
        <v>4</v>
      </c>
      <c r="D94" s="95">
        <v>5</v>
      </c>
      <c r="E94" s="95">
        <v>8</v>
      </c>
      <c r="F94" s="95">
        <v>7</v>
      </c>
      <c r="G94" s="95">
        <v>6</v>
      </c>
      <c r="H94" s="95"/>
      <c r="I94" s="95"/>
      <c r="J94" s="95">
        <v>7</v>
      </c>
      <c r="K94" s="95">
        <v>9</v>
      </c>
      <c r="L94" s="95">
        <v>9</v>
      </c>
      <c r="M94" s="157">
        <v>9</v>
      </c>
      <c r="N94" s="23"/>
      <c r="O94" s="85"/>
      <c r="P94" s="121"/>
      <c r="Q94" s="85"/>
      <c r="R94" s="86"/>
      <c r="S94" s="85"/>
      <c r="T94" s="85"/>
      <c r="U94" s="85"/>
      <c r="V94" s="86"/>
      <c r="W94" s="85"/>
      <c r="X94" s="85"/>
      <c r="Y94" s="85"/>
      <c r="Z94" s="86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</row>
    <row r="95" spans="1:68" hidden="1" x14ac:dyDescent="0.25">
      <c r="A95" s="155">
        <v>150000</v>
      </c>
      <c r="B95" s="156"/>
      <c r="C95" s="95">
        <v>5</v>
      </c>
      <c r="D95" s="95"/>
      <c r="E95" s="95">
        <v>8</v>
      </c>
      <c r="F95" s="95">
        <v>7</v>
      </c>
      <c r="G95" s="95"/>
      <c r="H95" s="95"/>
      <c r="I95" s="95"/>
      <c r="J95" s="95"/>
      <c r="K95" s="95"/>
      <c r="L95" s="95"/>
      <c r="M95" s="157"/>
      <c r="N95" s="23"/>
      <c r="O95" s="85"/>
      <c r="P95" s="121"/>
      <c r="Q95" s="85"/>
      <c r="R95" s="86"/>
      <c r="S95" s="85"/>
      <c r="T95" s="85"/>
      <c r="U95" s="85"/>
      <c r="V95" s="86"/>
      <c r="W95" s="85"/>
      <c r="X95" s="85"/>
      <c r="Y95" s="85"/>
      <c r="Z95" s="86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</row>
    <row r="96" spans="1:68" ht="15.75" hidden="1" thickBot="1" x14ac:dyDescent="0.3">
      <c r="A96" s="159" t="s">
        <v>89</v>
      </c>
      <c r="B96" s="160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2"/>
      <c r="N96" s="23"/>
      <c r="O96" s="23"/>
      <c r="P96" s="105"/>
      <c r="Q96" s="83"/>
      <c r="R96" s="8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</row>
    <row r="97" spans="1:40" x14ac:dyDescent="0.25">
      <c r="A97" s="81"/>
      <c r="B97" s="81"/>
      <c r="C97" s="107"/>
      <c r="D97" s="96"/>
      <c r="E97" s="96"/>
      <c r="F97" s="96"/>
      <c r="G97" s="96"/>
      <c r="H97" s="79"/>
      <c r="I97" s="83"/>
      <c r="J97" s="83"/>
      <c r="K97" s="83"/>
      <c r="L97" s="83"/>
      <c r="M97" s="23"/>
      <c r="N97" s="23"/>
      <c r="O97" s="23"/>
      <c r="P97" s="105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</row>
    <row r="98" spans="1:40" x14ac:dyDescent="0.25">
      <c r="A98" s="81"/>
      <c r="B98" s="81"/>
      <c r="C98" s="107"/>
      <c r="D98" s="96"/>
      <c r="E98" s="96"/>
      <c r="F98" s="96"/>
      <c r="G98" s="96"/>
      <c r="H98" s="79"/>
      <c r="I98" s="83"/>
      <c r="J98" s="83"/>
      <c r="K98" s="83"/>
      <c r="L98" s="83"/>
      <c r="M98" s="23"/>
      <c r="N98" s="83"/>
      <c r="O98" s="82"/>
      <c r="P98" s="105"/>
      <c r="Q98" s="87"/>
      <c r="R98" s="88"/>
      <c r="S98" s="82"/>
      <c r="T98" s="23"/>
      <c r="U98" s="87"/>
      <c r="V98" s="88"/>
      <c r="W98" s="82"/>
      <c r="X98" s="23"/>
      <c r="Y98" s="87"/>
      <c r="Z98" s="88"/>
      <c r="AA98" s="88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</row>
    <row r="99" spans="1:40" x14ac:dyDescent="0.25">
      <c r="A99" s="81"/>
      <c r="B99" s="81"/>
      <c r="C99" s="107"/>
      <c r="D99" s="96"/>
      <c r="E99" s="96"/>
      <c r="F99" s="96"/>
      <c r="G99" s="96"/>
      <c r="H99" s="79"/>
      <c r="I99" s="83"/>
      <c r="J99" s="83"/>
      <c r="K99" s="83"/>
      <c r="L99" s="83"/>
      <c r="M99" s="23"/>
      <c r="N99" s="23"/>
      <c r="O99" s="82"/>
      <c r="P99" s="105"/>
      <c r="Q99" s="87"/>
      <c r="R99" s="88"/>
      <c r="S99" s="82"/>
      <c r="T99" s="23"/>
      <c r="U99" s="87"/>
      <c r="V99" s="88"/>
      <c r="W99" s="82"/>
      <c r="X99" s="23"/>
      <c r="Y99" s="87"/>
      <c r="Z99" s="88"/>
      <c r="AA99" s="88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</row>
    <row r="100" spans="1:40" x14ac:dyDescent="0.25">
      <c r="A100" s="81"/>
      <c r="B100" s="81"/>
      <c r="C100" s="107"/>
      <c r="D100" s="96"/>
      <c r="E100" s="96"/>
      <c r="F100" s="96"/>
      <c r="G100" s="96"/>
      <c r="H100" s="79"/>
      <c r="I100" s="83"/>
      <c r="J100" s="83"/>
      <c r="K100" s="83"/>
      <c r="L100" s="83"/>
      <c r="M100" s="23"/>
      <c r="N100" s="23"/>
      <c r="O100" s="23"/>
      <c r="P100" s="105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</row>
    <row r="101" spans="1:40" x14ac:dyDescent="0.25">
      <c r="A101" s="81"/>
      <c r="B101" s="81"/>
      <c r="C101" s="107"/>
      <c r="D101" s="96"/>
      <c r="E101" s="96"/>
      <c r="F101" s="96"/>
      <c r="G101" s="96"/>
      <c r="H101" s="79"/>
      <c r="I101" s="83"/>
      <c r="J101" s="83"/>
      <c r="K101" s="83"/>
      <c r="L101" s="83"/>
      <c r="M101" s="23"/>
      <c r="N101" s="23"/>
      <c r="O101" s="23"/>
      <c r="P101" s="106"/>
      <c r="Q101" s="81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</row>
    <row r="102" spans="1:40" x14ac:dyDescent="0.25">
      <c r="A102" s="81"/>
      <c r="B102" s="81"/>
      <c r="C102" s="107"/>
      <c r="D102" s="96"/>
      <c r="E102" s="96"/>
      <c r="F102" s="96"/>
      <c r="G102" s="96"/>
      <c r="H102" s="79"/>
      <c r="I102" s="83"/>
      <c r="J102" s="83"/>
      <c r="K102" s="83"/>
      <c r="L102" s="83"/>
      <c r="M102" s="23"/>
      <c r="N102" s="23"/>
      <c r="O102" s="23"/>
      <c r="P102" s="106"/>
      <c r="Q102" s="81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</row>
    <row r="103" spans="1:40" x14ac:dyDescent="0.25">
      <c r="A103" s="81"/>
      <c r="B103" s="81"/>
      <c r="C103" s="107"/>
      <c r="D103" s="96"/>
      <c r="E103" s="96"/>
      <c r="F103" s="96"/>
      <c r="G103" s="96"/>
      <c r="H103" s="79"/>
      <c r="I103" s="83"/>
      <c r="J103" s="83"/>
      <c r="K103" s="83"/>
      <c r="L103" s="83"/>
      <c r="M103" s="23"/>
      <c r="N103" s="23"/>
      <c r="O103" s="23"/>
      <c r="P103" s="106"/>
      <c r="Q103" s="81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</row>
    <row r="104" spans="1:40" x14ac:dyDescent="0.25">
      <c r="A104" s="81"/>
      <c r="B104" s="81"/>
      <c r="C104" s="107"/>
      <c r="D104" s="96"/>
      <c r="E104" s="96"/>
      <c r="F104" s="96"/>
      <c r="G104" s="96"/>
      <c r="H104" s="79"/>
      <c r="I104" s="83"/>
      <c r="J104" s="83"/>
      <c r="K104" s="83"/>
      <c r="L104" s="83"/>
      <c r="M104" s="23"/>
      <c r="N104" s="23"/>
      <c r="O104" s="23"/>
      <c r="P104" s="106"/>
      <c r="Q104" s="81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</row>
    <row r="105" spans="1:40" x14ac:dyDescent="0.25">
      <c r="A105" s="81"/>
      <c r="B105" s="81"/>
      <c r="C105" s="107"/>
      <c r="D105" s="96"/>
      <c r="E105" s="96"/>
      <c r="F105" s="96"/>
      <c r="G105" s="96"/>
      <c r="H105" s="79"/>
      <c r="I105" s="83"/>
      <c r="J105" s="83"/>
      <c r="K105" s="83"/>
      <c r="L105" s="83"/>
      <c r="M105" s="23"/>
      <c r="N105" s="23"/>
      <c r="O105" s="23"/>
      <c r="P105" s="106"/>
      <c r="Q105" s="81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</row>
    <row r="106" spans="1:40" x14ac:dyDescent="0.25">
      <c r="A106" s="81"/>
      <c r="B106" s="81"/>
      <c r="C106" s="107"/>
      <c r="D106" s="96"/>
      <c r="E106" s="96"/>
      <c r="F106" s="96"/>
      <c r="G106" s="96"/>
      <c r="H106" s="79"/>
      <c r="I106" s="83"/>
      <c r="J106" s="83"/>
      <c r="K106" s="83"/>
      <c r="L106" s="83"/>
      <c r="M106" s="23"/>
      <c r="N106" s="23"/>
      <c r="O106" s="23"/>
      <c r="P106" s="106"/>
      <c r="Q106" s="81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</row>
    <row r="107" spans="1:40" x14ac:dyDescent="0.25">
      <c r="A107" s="81"/>
      <c r="B107" s="81"/>
      <c r="C107" s="107"/>
      <c r="D107" s="96"/>
      <c r="E107" s="96"/>
      <c r="F107" s="96"/>
      <c r="G107" s="96"/>
      <c r="H107" s="79"/>
      <c r="I107" s="83"/>
      <c r="J107" s="83"/>
      <c r="K107" s="83"/>
      <c r="L107" s="83"/>
      <c r="M107" s="23"/>
      <c r="N107" s="23"/>
      <c r="O107" s="23"/>
      <c r="P107" s="106"/>
      <c r="Q107" s="81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</row>
    <row r="108" spans="1:40" x14ac:dyDescent="0.25">
      <c r="A108" s="80"/>
      <c r="B108" s="80"/>
      <c r="C108" s="79"/>
      <c r="D108" s="83"/>
      <c r="E108" s="83"/>
      <c r="F108" s="83"/>
      <c r="G108" s="83"/>
      <c r="H108" s="79"/>
      <c r="I108" s="83"/>
      <c r="J108" s="83"/>
      <c r="K108" s="83"/>
      <c r="L108" s="83"/>
      <c r="M108" s="23"/>
      <c r="N108" s="23"/>
      <c r="O108" s="23"/>
      <c r="P108" s="106"/>
      <c r="Q108" s="81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</row>
    <row r="109" spans="1:40" x14ac:dyDescent="0.25">
      <c r="A109" s="80"/>
      <c r="B109" s="80"/>
      <c r="C109" s="79"/>
      <c r="D109" s="83"/>
      <c r="E109" s="83"/>
      <c r="F109" s="83"/>
      <c r="G109" s="83"/>
      <c r="H109" s="79"/>
      <c r="I109" s="83"/>
      <c r="J109" s="83"/>
      <c r="K109" s="83"/>
      <c r="L109" s="83"/>
      <c r="M109" s="23"/>
      <c r="N109" s="23"/>
      <c r="O109" s="23"/>
      <c r="P109" s="106"/>
      <c r="Q109" s="81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</row>
    <row r="110" spans="1:40" x14ac:dyDescent="0.25">
      <c r="A110" s="80"/>
      <c r="B110" s="80"/>
      <c r="C110" s="79"/>
      <c r="D110" s="83"/>
      <c r="E110" s="83"/>
      <c r="F110" s="83"/>
      <c r="G110" s="83"/>
      <c r="H110" s="81"/>
      <c r="I110" s="83"/>
      <c r="J110" s="83"/>
      <c r="K110" s="83"/>
      <c r="L110" s="83"/>
      <c r="M110" s="23"/>
      <c r="N110" s="23"/>
      <c r="O110" s="23"/>
      <c r="P110" s="106"/>
      <c r="Q110" s="81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</row>
    <row r="111" spans="1:40" x14ac:dyDescent="0.25">
      <c r="A111" s="80"/>
      <c r="B111" s="80"/>
      <c r="C111" s="79"/>
      <c r="D111" s="83"/>
      <c r="E111" s="83"/>
      <c r="F111" s="83"/>
      <c r="G111" s="83"/>
      <c r="H111" s="81"/>
      <c r="I111" s="83"/>
      <c r="J111" s="83"/>
      <c r="K111" s="83"/>
      <c r="L111" s="83"/>
      <c r="M111" s="23"/>
      <c r="N111" s="23"/>
      <c r="O111" s="23"/>
      <c r="P111" s="106"/>
      <c r="Q111" s="81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</row>
    <row r="112" spans="1:40" x14ac:dyDescent="0.25">
      <c r="A112" s="80"/>
      <c r="B112" s="80"/>
      <c r="C112" s="79"/>
      <c r="D112" s="83"/>
      <c r="E112" s="83"/>
      <c r="F112" s="83"/>
      <c r="G112" s="83"/>
      <c r="H112" s="81"/>
      <c r="I112" s="83"/>
      <c r="J112" s="83"/>
      <c r="K112" s="83"/>
      <c r="L112" s="83"/>
      <c r="M112" s="23"/>
      <c r="N112" s="23"/>
      <c r="O112" s="23"/>
      <c r="P112" s="106"/>
      <c r="Q112" s="81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</row>
    <row r="113" spans="1:40" x14ac:dyDescent="0.25">
      <c r="A113" s="80"/>
      <c r="B113" s="80"/>
      <c r="C113" s="79"/>
      <c r="D113" s="83"/>
      <c r="E113" s="83"/>
      <c r="F113" s="83"/>
      <c r="G113" s="83"/>
      <c r="H113" s="81"/>
      <c r="I113" s="83"/>
      <c r="J113" s="83"/>
      <c r="K113" s="83"/>
      <c r="L113" s="83"/>
      <c r="M113" s="23"/>
      <c r="N113" s="23"/>
      <c r="O113" s="23"/>
      <c r="P113" s="106"/>
      <c r="Q113" s="81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</row>
    <row r="114" spans="1:40" x14ac:dyDescent="0.25">
      <c r="A114" s="80"/>
      <c r="B114" s="80"/>
      <c r="C114" s="79"/>
      <c r="D114" s="83"/>
      <c r="E114" s="83"/>
      <c r="F114" s="83"/>
      <c r="G114" s="83"/>
      <c r="H114" s="81"/>
      <c r="I114" s="83"/>
      <c r="J114" s="83"/>
      <c r="K114" s="83"/>
      <c r="L114" s="83"/>
      <c r="M114" s="23"/>
      <c r="N114" s="23"/>
      <c r="O114" s="23"/>
      <c r="P114" s="106"/>
      <c r="Q114" s="81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</row>
    <row r="115" spans="1:40" x14ac:dyDescent="0.25">
      <c r="A115" s="80"/>
      <c r="B115" s="80"/>
      <c r="C115" s="79"/>
      <c r="D115" s="83"/>
      <c r="E115" s="83"/>
      <c r="F115" s="83"/>
      <c r="G115" s="83"/>
      <c r="H115" s="81"/>
      <c r="I115" s="83"/>
      <c r="J115" s="83"/>
      <c r="K115" s="83"/>
      <c r="L115" s="83"/>
      <c r="M115" s="23"/>
      <c r="N115" s="23"/>
      <c r="O115" s="23"/>
      <c r="P115" s="106"/>
      <c r="Q115" s="81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</row>
    <row r="116" spans="1:40" x14ac:dyDescent="0.25">
      <c r="A116" s="80"/>
      <c r="B116" s="80"/>
      <c r="C116" s="79"/>
      <c r="D116" s="83"/>
      <c r="E116" s="83"/>
      <c r="F116" s="83"/>
      <c r="G116" s="83"/>
      <c r="H116" s="81"/>
      <c r="I116" s="83"/>
      <c r="J116" s="83"/>
      <c r="K116" s="83"/>
      <c r="L116" s="83"/>
      <c r="M116" s="23"/>
      <c r="N116" s="23"/>
      <c r="O116" s="23"/>
      <c r="P116" s="106"/>
      <c r="Q116" s="81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</row>
    <row r="117" spans="1:40" x14ac:dyDescent="0.25">
      <c r="A117" s="80"/>
      <c r="B117" s="80"/>
      <c r="C117" s="79"/>
      <c r="D117" s="83"/>
      <c r="E117" s="83"/>
      <c r="F117" s="83"/>
      <c r="G117" s="83"/>
      <c r="H117" s="81"/>
      <c r="I117" s="83"/>
      <c r="J117" s="83"/>
      <c r="K117" s="83"/>
      <c r="L117" s="83"/>
      <c r="M117" s="23"/>
      <c r="N117" s="23"/>
      <c r="O117" s="23"/>
      <c r="P117" s="106"/>
      <c r="Q117" s="81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</row>
    <row r="118" spans="1:40" x14ac:dyDescent="0.25">
      <c r="A118" s="80"/>
      <c r="B118" s="80"/>
      <c r="C118" s="79"/>
      <c r="D118" s="83"/>
      <c r="E118" s="83"/>
      <c r="F118" s="83"/>
      <c r="G118" s="83"/>
      <c r="H118" s="81"/>
      <c r="I118" s="83"/>
      <c r="J118" s="83"/>
      <c r="K118" s="83"/>
      <c r="L118" s="83"/>
      <c r="M118" s="23"/>
      <c r="N118" s="23"/>
      <c r="O118" s="23"/>
      <c r="P118" s="106"/>
      <c r="Q118" s="81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</row>
    <row r="119" spans="1:40" x14ac:dyDescent="0.25">
      <c r="A119" s="80"/>
      <c r="B119" s="80"/>
      <c r="C119" s="79"/>
      <c r="D119" s="83"/>
      <c r="E119" s="83"/>
      <c r="F119" s="83"/>
      <c r="G119" s="83"/>
      <c r="H119" s="81"/>
      <c r="I119" s="83"/>
      <c r="J119" s="83"/>
      <c r="K119" s="83"/>
      <c r="L119" s="83"/>
      <c r="M119" s="23"/>
      <c r="N119" s="23"/>
      <c r="O119" s="23"/>
      <c r="P119" s="106"/>
      <c r="Q119" s="81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</row>
    <row r="120" spans="1:40" x14ac:dyDescent="0.25">
      <c r="A120" s="80"/>
      <c r="B120" s="80"/>
      <c r="C120" s="79"/>
      <c r="D120" s="83"/>
      <c r="E120" s="83"/>
      <c r="F120" s="83"/>
      <c r="G120" s="83"/>
      <c r="H120" s="81"/>
      <c r="I120" s="83"/>
      <c r="J120" s="83"/>
      <c r="K120" s="83"/>
      <c r="L120" s="83"/>
      <c r="M120" s="23"/>
      <c r="N120" s="23"/>
      <c r="O120" s="23"/>
      <c r="P120" s="106"/>
      <c r="Q120" s="81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</row>
    <row r="121" spans="1:40" x14ac:dyDescent="0.25">
      <c r="A121" s="80"/>
      <c r="B121" s="80"/>
      <c r="C121" s="79"/>
      <c r="D121" s="83"/>
      <c r="E121" s="83"/>
      <c r="F121" s="83"/>
      <c r="G121" s="83"/>
      <c r="H121" s="81"/>
      <c r="I121" s="83"/>
      <c r="J121" s="83"/>
      <c r="K121" s="83"/>
      <c r="L121" s="83"/>
      <c r="M121" s="23"/>
      <c r="N121" s="23"/>
      <c r="O121" s="23"/>
      <c r="P121" s="106"/>
      <c r="Q121" s="81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</row>
    <row r="122" spans="1:40" x14ac:dyDescent="0.25">
      <c r="A122" s="80"/>
      <c r="B122" s="80"/>
      <c r="C122" s="79"/>
      <c r="D122" s="83"/>
      <c r="E122" s="83"/>
      <c r="F122" s="83"/>
      <c r="G122" s="83"/>
      <c r="H122" s="81"/>
      <c r="I122" s="83"/>
      <c r="J122" s="83"/>
      <c r="K122" s="83"/>
      <c r="L122" s="83"/>
      <c r="M122" s="23"/>
      <c r="N122" s="23"/>
      <c r="O122" s="23"/>
      <c r="P122" s="106"/>
      <c r="Q122" s="81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</row>
    <row r="123" spans="1:40" x14ac:dyDescent="0.25">
      <c r="A123" s="80"/>
      <c r="B123" s="80"/>
      <c r="C123" s="79"/>
      <c r="D123" s="83"/>
      <c r="E123" s="83"/>
      <c r="F123" s="83"/>
      <c r="G123" s="83"/>
      <c r="H123" s="81"/>
      <c r="I123" s="83"/>
      <c r="J123" s="83"/>
      <c r="K123" s="83"/>
      <c r="L123" s="83"/>
      <c r="M123" s="23"/>
      <c r="N123" s="23"/>
      <c r="O123" s="23"/>
      <c r="P123" s="106"/>
      <c r="Q123" s="81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</row>
    <row r="124" spans="1:40" x14ac:dyDescent="0.25">
      <c r="A124" s="80"/>
      <c r="B124" s="80"/>
      <c r="C124" s="79"/>
      <c r="D124" s="83"/>
      <c r="E124" s="83"/>
      <c r="F124" s="83"/>
      <c r="G124" s="83"/>
      <c r="H124" s="81"/>
      <c r="I124" s="83"/>
      <c r="J124" s="83"/>
      <c r="K124" s="83"/>
      <c r="L124" s="83"/>
      <c r="M124" s="23"/>
      <c r="N124" s="23"/>
      <c r="O124" s="23"/>
      <c r="P124" s="106"/>
      <c r="Q124" s="81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</row>
    <row r="125" spans="1:40" x14ac:dyDescent="0.25">
      <c r="A125" s="80"/>
      <c r="B125" s="80"/>
      <c r="C125" s="79"/>
      <c r="D125" s="83"/>
      <c r="E125" s="83"/>
      <c r="F125" s="83"/>
      <c r="G125" s="83"/>
      <c r="H125" s="81"/>
      <c r="I125" s="83"/>
      <c r="J125" s="83"/>
      <c r="K125" s="83"/>
      <c r="L125" s="83"/>
      <c r="M125" s="23"/>
      <c r="N125" s="23"/>
      <c r="O125" s="23"/>
      <c r="P125" s="106"/>
      <c r="Q125" s="81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</row>
    <row r="126" spans="1:40" x14ac:dyDescent="0.25">
      <c r="A126" s="80"/>
      <c r="B126" s="80"/>
      <c r="C126" s="79"/>
      <c r="D126" s="83"/>
      <c r="E126" s="83"/>
      <c r="F126" s="83"/>
      <c r="G126" s="83"/>
      <c r="H126" s="81"/>
      <c r="I126" s="83"/>
      <c r="J126" s="83"/>
      <c r="K126" s="83"/>
      <c r="L126" s="83"/>
      <c r="M126" s="23"/>
      <c r="N126" s="23"/>
      <c r="O126" s="23"/>
      <c r="P126" s="106"/>
      <c r="Q126" s="81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</row>
    <row r="127" spans="1:40" x14ac:dyDescent="0.25">
      <c r="A127" s="80"/>
      <c r="B127" s="80"/>
      <c r="C127" s="79"/>
      <c r="D127" s="83"/>
      <c r="E127" s="83"/>
      <c r="F127" s="83"/>
      <c r="G127" s="83"/>
      <c r="H127" s="81"/>
      <c r="I127" s="83"/>
      <c r="J127" s="83"/>
      <c r="K127" s="83"/>
      <c r="L127" s="83"/>
      <c r="M127" s="23"/>
      <c r="N127" s="23"/>
      <c r="O127" s="23"/>
      <c r="P127" s="106"/>
      <c r="Q127" s="81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</row>
    <row r="128" spans="1:40" x14ac:dyDescent="0.25">
      <c r="A128" s="80"/>
      <c r="B128" s="80"/>
      <c r="C128" s="79"/>
      <c r="D128" s="83"/>
      <c r="E128" s="83"/>
      <c r="F128" s="83"/>
      <c r="G128" s="83"/>
      <c r="H128" s="81"/>
      <c r="I128" s="83"/>
      <c r="J128" s="83"/>
      <c r="K128" s="83"/>
      <c r="L128" s="83"/>
      <c r="M128" s="23"/>
      <c r="N128" s="23"/>
      <c r="O128" s="23"/>
      <c r="P128" s="106"/>
      <c r="Q128" s="81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</row>
    <row r="129" spans="1:40" x14ac:dyDescent="0.25">
      <c r="A129" s="80"/>
      <c r="B129" s="80"/>
      <c r="C129" s="79"/>
      <c r="D129" s="83"/>
      <c r="E129" s="83"/>
      <c r="F129" s="83"/>
      <c r="G129" s="83"/>
      <c r="H129" s="81"/>
      <c r="I129" s="83"/>
      <c r="J129" s="83"/>
      <c r="K129" s="83"/>
      <c r="L129" s="83"/>
      <c r="M129" s="23"/>
      <c r="N129" s="23"/>
      <c r="O129" s="23"/>
      <c r="P129" s="106"/>
      <c r="Q129" s="81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</row>
    <row r="130" spans="1:40" x14ac:dyDescent="0.25">
      <c r="A130" s="80"/>
      <c r="B130" s="80"/>
      <c r="C130" s="79"/>
      <c r="D130" s="83"/>
      <c r="E130" s="83"/>
      <c r="F130" s="83"/>
      <c r="G130" s="83"/>
      <c r="H130" s="81"/>
      <c r="I130" s="83"/>
      <c r="J130" s="83"/>
      <c r="K130" s="83"/>
      <c r="L130" s="83"/>
      <c r="M130" s="23"/>
      <c r="N130" s="23"/>
      <c r="O130" s="23"/>
      <c r="P130" s="106"/>
      <c r="Q130" s="81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</row>
    <row r="131" spans="1:40" x14ac:dyDescent="0.25">
      <c r="A131" s="80"/>
      <c r="B131" s="80"/>
      <c r="C131" s="79"/>
      <c r="D131" s="83"/>
      <c r="E131" s="83"/>
      <c r="F131" s="83"/>
      <c r="G131" s="83"/>
      <c r="H131" s="81"/>
      <c r="I131" s="83"/>
      <c r="J131" s="83"/>
      <c r="K131" s="83"/>
      <c r="L131" s="83"/>
      <c r="M131" s="23"/>
      <c r="N131" s="23"/>
      <c r="O131" s="23"/>
      <c r="P131" s="106"/>
      <c r="Q131" s="81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</row>
    <row r="132" spans="1:40" x14ac:dyDescent="0.25">
      <c r="A132" s="80"/>
      <c r="B132" s="80"/>
      <c r="C132" s="79"/>
      <c r="D132" s="83"/>
      <c r="E132" s="83"/>
      <c r="F132" s="83"/>
      <c r="G132" s="83"/>
      <c r="H132" s="81"/>
      <c r="I132" s="83"/>
      <c r="J132" s="83"/>
      <c r="K132" s="83"/>
      <c r="L132" s="83"/>
      <c r="M132" s="23"/>
      <c r="N132" s="23"/>
      <c r="O132" s="23"/>
      <c r="P132" s="106"/>
      <c r="Q132" s="81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</row>
    <row r="133" spans="1:40" x14ac:dyDescent="0.25">
      <c r="A133" s="80"/>
      <c r="B133" s="80"/>
      <c r="C133" s="79"/>
      <c r="D133" s="83"/>
      <c r="E133" s="83"/>
      <c r="F133" s="83"/>
      <c r="G133" s="83"/>
      <c r="H133" s="81"/>
      <c r="I133" s="83"/>
      <c r="J133" s="83"/>
      <c r="K133" s="83"/>
      <c r="L133" s="83"/>
      <c r="M133" s="23"/>
      <c r="N133" s="23"/>
      <c r="O133" s="23"/>
      <c r="P133" s="106"/>
      <c r="Q133" s="81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</row>
    <row r="134" spans="1:40" x14ac:dyDescent="0.25">
      <c r="A134" s="80"/>
      <c r="B134" s="80"/>
      <c r="C134" s="89"/>
      <c r="D134" s="83"/>
      <c r="E134" s="83"/>
      <c r="F134" s="83"/>
      <c r="G134" s="83"/>
      <c r="H134" s="81"/>
      <c r="I134" s="83"/>
      <c r="J134" s="83"/>
      <c r="K134" s="83"/>
      <c r="L134" s="83"/>
      <c r="M134" s="23"/>
      <c r="N134" s="23"/>
      <c r="O134" s="23"/>
      <c r="P134" s="106"/>
      <c r="Q134" s="81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</row>
    <row r="135" spans="1:40" x14ac:dyDescent="0.25">
      <c r="A135" s="80"/>
      <c r="B135" s="80"/>
      <c r="C135" s="89"/>
      <c r="D135" s="83"/>
      <c r="E135" s="83"/>
      <c r="F135" s="83"/>
      <c r="G135" s="83"/>
      <c r="H135" s="81"/>
      <c r="I135" s="83"/>
      <c r="J135" s="83"/>
      <c r="K135" s="83"/>
      <c r="L135" s="83"/>
      <c r="M135" s="23"/>
      <c r="N135" s="23"/>
      <c r="O135" s="23"/>
      <c r="P135" s="106"/>
      <c r="Q135" s="81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</row>
    <row r="136" spans="1:40" x14ac:dyDescent="0.25">
      <c r="A136" s="80"/>
      <c r="B136" s="80"/>
      <c r="C136" s="89"/>
      <c r="D136" s="83"/>
      <c r="E136" s="83"/>
      <c r="F136" s="83"/>
      <c r="G136" s="83"/>
      <c r="H136" s="81"/>
      <c r="I136" s="83"/>
      <c r="J136" s="83"/>
      <c r="K136" s="83"/>
      <c r="L136" s="83"/>
      <c r="M136" s="23"/>
      <c r="N136" s="23"/>
      <c r="O136" s="23"/>
      <c r="P136" s="106"/>
      <c r="Q136" s="81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</row>
    <row r="137" spans="1:40" x14ac:dyDescent="0.25">
      <c r="A137" s="80"/>
      <c r="B137" s="80"/>
      <c r="C137" s="89"/>
      <c r="D137" s="83"/>
      <c r="E137" s="83"/>
      <c r="F137" s="83"/>
      <c r="G137" s="83"/>
      <c r="H137" s="81"/>
      <c r="I137" s="83"/>
      <c r="J137" s="83"/>
      <c r="K137" s="83"/>
      <c r="L137" s="83"/>
      <c r="M137" s="23"/>
      <c r="N137" s="23"/>
      <c r="O137" s="23"/>
      <c r="P137" s="106"/>
      <c r="Q137" s="81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</row>
    <row r="138" spans="1:40" x14ac:dyDescent="0.25">
      <c r="A138" s="80"/>
      <c r="B138" s="80"/>
      <c r="C138" s="79"/>
      <c r="D138" s="23"/>
      <c r="E138" s="23"/>
      <c r="F138" s="23"/>
      <c r="G138" s="23"/>
      <c r="H138" s="81"/>
      <c r="I138" s="23"/>
      <c r="J138" s="23"/>
      <c r="K138" s="23"/>
      <c r="L138" s="23"/>
      <c r="M138" s="23"/>
      <c r="N138" s="23"/>
      <c r="O138" s="23"/>
      <c r="P138" s="106"/>
      <c r="Q138" s="81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</row>
    <row r="139" spans="1:40" x14ac:dyDescent="0.25">
      <c r="A139" s="80"/>
      <c r="B139" s="80"/>
      <c r="C139" s="79"/>
      <c r="D139" s="23"/>
      <c r="E139" s="23"/>
      <c r="F139" s="23"/>
      <c r="G139" s="23"/>
      <c r="H139" s="81"/>
      <c r="I139" s="23"/>
      <c r="J139" s="23"/>
      <c r="K139" s="23"/>
      <c r="L139" s="23"/>
      <c r="M139" s="23"/>
      <c r="N139" s="23"/>
      <c r="O139" s="23"/>
      <c r="P139" s="106"/>
      <c r="Q139" s="81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</row>
    <row r="140" spans="1:40" x14ac:dyDescent="0.25">
      <c r="A140" s="80"/>
      <c r="B140" s="80"/>
      <c r="C140" s="79"/>
      <c r="D140" s="23"/>
      <c r="E140" s="23"/>
      <c r="F140" s="23"/>
      <c r="G140" s="23"/>
      <c r="H140" s="81"/>
      <c r="I140" s="23"/>
      <c r="J140" s="23"/>
      <c r="K140" s="23"/>
      <c r="L140" s="23"/>
      <c r="M140" s="23"/>
      <c r="N140" s="23"/>
      <c r="O140" s="23"/>
      <c r="P140" s="106"/>
      <c r="Q140" s="81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</row>
    <row r="141" spans="1:40" x14ac:dyDescent="0.25">
      <c r="A141" s="80"/>
      <c r="B141" s="80"/>
      <c r="C141" s="79"/>
      <c r="D141" s="23"/>
      <c r="E141" s="23"/>
      <c r="F141" s="23"/>
      <c r="G141" s="23"/>
      <c r="H141" s="81"/>
      <c r="I141" s="23"/>
      <c r="J141" s="23"/>
      <c r="K141" s="23"/>
      <c r="L141" s="23"/>
      <c r="M141" s="23"/>
      <c r="N141" s="23"/>
      <c r="O141" s="23"/>
      <c r="P141" s="106"/>
      <c r="Q141" s="81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</row>
    <row r="142" spans="1:40" x14ac:dyDescent="0.25">
      <c r="A142" s="80"/>
      <c r="B142" s="80"/>
      <c r="C142" s="79"/>
      <c r="D142" s="23"/>
      <c r="E142" s="23"/>
      <c r="F142" s="23"/>
      <c r="G142" s="23"/>
      <c r="H142" s="81"/>
      <c r="I142" s="23"/>
      <c r="J142" s="23"/>
      <c r="K142" s="23"/>
      <c r="L142" s="23"/>
      <c r="M142" s="23"/>
      <c r="N142" s="23"/>
      <c r="O142" s="23"/>
      <c r="P142" s="106"/>
      <c r="Q142" s="81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</row>
    <row r="143" spans="1:40" x14ac:dyDescent="0.25">
      <c r="A143" s="80"/>
      <c r="B143" s="80"/>
      <c r="C143" s="79"/>
      <c r="D143" s="23"/>
      <c r="E143" s="23"/>
      <c r="F143" s="23"/>
      <c r="G143" s="23"/>
      <c r="H143" s="81"/>
      <c r="I143" s="23"/>
      <c r="J143" s="23"/>
      <c r="K143" s="23"/>
      <c r="L143" s="23"/>
      <c r="M143" s="23"/>
      <c r="N143" s="23"/>
      <c r="O143" s="23"/>
      <c r="P143" s="106"/>
      <c r="Q143" s="81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</row>
    <row r="144" spans="1:40" x14ac:dyDescent="0.25">
      <c r="A144" s="80"/>
      <c r="B144" s="80"/>
      <c r="C144" s="81"/>
      <c r="D144" s="23"/>
      <c r="E144" s="23"/>
      <c r="F144" s="23"/>
      <c r="G144" s="23"/>
      <c r="H144" s="81"/>
      <c r="I144" s="23"/>
      <c r="J144" s="23"/>
      <c r="K144" s="23"/>
      <c r="L144" s="23"/>
      <c r="M144" s="23"/>
      <c r="N144" s="23"/>
      <c r="O144" s="23"/>
      <c r="P144" s="106"/>
      <c r="Q144" s="81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</row>
    <row r="145" spans="1:40" x14ac:dyDescent="0.25">
      <c r="A145" s="80"/>
      <c r="B145" s="80"/>
      <c r="C145" s="81"/>
      <c r="D145" s="23"/>
      <c r="E145" s="23"/>
      <c r="F145" s="23"/>
      <c r="G145" s="23"/>
      <c r="H145" s="81"/>
      <c r="I145" s="23"/>
      <c r="J145" s="23"/>
      <c r="K145" s="23"/>
      <c r="L145" s="23"/>
      <c r="M145" s="23"/>
      <c r="N145" s="23"/>
      <c r="O145" s="81"/>
      <c r="P145" s="106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</row>
    <row r="146" spans="1:40" x14ac:dyDescent="0.25">
      <c r="A146" s="82"/>
      <c r="B146" s="82"/>
      <c r="C146" s="8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83"/>
      <c r="O146" s="111"/>
      <c r="P146" s="105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</row>
    <row r="147" spans="1:40" x14ac:dyDescent="0.25">
      <c r="A147" s="83"/>
      <c r="B147" s="83"/>
      <c r="C147" s="174"/>
      <c r="D147" s="174"/>
      <c r="E147" s="174"/>
      <c r="F147" s="174"/>
      <c r="G147" s="174"/>
      <c r="H147" s="174"/>
      <c r="I147" s="174"/>
      <c r="J147" s="174"/>
      <c r="K147" s="174"/>
      <c r="L147" s="174"/>
      <c r="M147" s="23"/>
      <c r="N147" s="23"/>
      <c r="O147" s="23"/>
      <c r="P147" s="105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</row>
    <row r="148" spans="1:40" x14ac:dyDescent="0.25">
      <c r="A148" s="23"/>
      <c r="B148" s="23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78"/>
      <c r="N148" s="78"/>
      <c r="O148" s="78"/>
      <c r="P148" s="105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</row>
    <row r="149" spans="1:40" x14ac:dyDescent="0.25">
      <c r="A149" s="23"/>
      <c r="B149" s="23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105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</row>
    <row r="150" spans="1:40" x14ac:dyDescent="0.25">
      <c r="A150" s="23"/>
      <c r="B150" s="23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105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</row>
    <row r="151" spans="1:40" x14ac:dyDescent="0.25">
      <c r="A151" s="23"/>
      <c r="B151" s="23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105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</row>
    <row r="152" spans="1:40" x14ac:dyDescent="0.25">
      <c r="A152" s="23"/>
      <c r="B152" s="23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105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</row>
    <row r="153" spans="1:40" x14ac:dyDescent="0.25">
      <c r="A153" s="23"/>
      <c r="B153" s="23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105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</row>
    <row r="154" spans="1:40" x14ac:dyDescent="0.25">
      <c r="A154" s="23"/>
      <c r="B154" s="23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105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</row>
    <row r="155" spans="1:40" x14ac:dyDescent="0.25">
      <c r="A155" s="23"/>
      <c r="B155" s="23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105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</row>
    <row r="156" spans="1:40" x14ac:dyDescent="0.25">
      <c r="A156" s="23"/>
      <c r="B156" s="23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105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</row>
    <row r="157" spans="1:40" x14ac:dyDescent="0.25">
      <c r="A157" s="23"/>
      <c r="B157" s="23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105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</row>
    <row r="158" spans="1:40" x14ac:dyDescent="0.25">
      <c r="A158" s="23"/>
      <c r="B158" s="23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105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</row>
    <row r="159" spans="1:40" x14ac:dyDescent="0.25">
      <c r="A159" s="23"/>
      <c r="B159" s="23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105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</row>
    <row r="160" spans="1:40" x14ac:dyDescent="0.25">
      <c r="A160" s="23"/>
      <c r="B160" s="23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105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</row>
    <row r="161" spans="1:40" x14ac:dyDescent="0.25">
      <c r="A161" s="82"/>
      <c r="B161" s="82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105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</row>
    <row r="162" spans="1:40" x14ac:dyDescent="0.25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105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</row>
    <row r="163" spans="1:40" x14ac:dyDescent="0.25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105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</row>
  </sheetData>
  <protectedRanges>
    <protectedRange password="EEDA" sqref="O8:O36" name="Range6"/>
    <protectedRange password="EEDA" sqref="S8:S18 O37:O39 Q8:Q36" name="Range6_1"/>
  </protectedRanges>
  <mergeCells count="42">
    <mergeCell ref="BO55:BP55"/>
    <mergeCell ref="BA55:BB55"/>
    <mergeCell ref="BC55:BD55"/>
    <mergeCell ref="BE55:BF55"/>
    <mergeCell ref="BG55:BH55"/>
    <mergeCell ref="BI55:BJ55"/>
    <mergeCell ref="AU55:AV55"/>
    <mergeCell ref="AW55:AX55"/>
    <mergeCell ref="AY55:AZ55"/>
    <mergeCell ref="BK55:BL55"/>
    <mergeCell ref="BM55:BN55"/>
    <mergeCell ref="AK55:AL55"/>
    <mergeCell ref="AM55:AN55"/>
    <mergeCell ref="AO55:AP55"/>
    <mergeCell ref="AQ55:AR55"/>
    <mergeCell ref="AS55:AT55"/>
    <mergeCell ref="AA55:AB55"/>
    <mergeCell ref="AC55:AD55"/>
    <mergeCell ref="AE55:AF55"/>
    <mergeCell ref="AG55:AH55"/>
    <mergeCell ref="AI55:AJ55"/>
    <mergeCell ref="Q55:R55"/>
    <mergeCell ref="S55:T55"/>
    <mergeCell ref="U55:V55"/>
    <mergeCell ref="W55:X55"/>
    <mergeCell ref="Y55:Z55"/>
    <mergeCell ref="D4:E4"/>
    <mergeCell ref="C147:L147"/>
    <mergeCell ref="C26:D26"/>
    <mergeCell ref="E26:F26"/>
    <mergeCell ref="G26:H26"/>
    <mergeCell ref="I26:J26"/>
    <mergeCell ref="K26:L26"/>
    <mergeCell ref="C82:L82"/>
    <mergeCell ref="U7:V7"/>
    <mergeCell ref="C33:D33"/>
    <mergeCell ref="E33:F33"/>
    <mergeCell ref="G33:H33"/>
    <mergeCell ref="I33:J33"/>
    <mergeCell ref="K33:L33"/>
    <mergeCell ref="C9:L9"/>
    <mergeCell ref="O7:S7"/>
  </mergeCells>
  <conditionalFormatting sqref="C10:M2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M9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">
    <cfRule type="cellIs" dxfId="0" priority="1" operator="greaterThan">
      <formula>0</formula>
    </cfRule>
  </conditionalFormatting>
  <printOptions headings="1" gridLines="1"/>
  <pageMargins left="0.45" right="0.45" top="1" bottom="0.25" header="0.3" footer="0.3"/>
  <pageSetup scale="54" orientation="portrait" copies="6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3</xdr:col>
                    <xdr:colOff>9525</xdr:colOff>
                    <xdr:row>26</xdr:row>
                    <xdr:rowOff>0</xdr:rowOff>
                  </from>
                  <to>
                    <xdr:col>3</xdr:col>
                    <xdr:colOff>819150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3</xdr:col>
                    <xdr:colOff>9525</xdr:colOff>
                    <xdr:row>27</xdr:row>
                    <xdr:rowOff>0</xdr:rowOff>
                  </from>
                  <to>
                    <xdr:col>3</xdr:col>
                    <xdr:colOff>819150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5</xdr:col>
                    <xdr:colOff>9525</xdr:colOff>
                    <xdr:row>26</xdr:row>
                    <xdr:rowOff>0</xdr:rowOff>
                  </from>
                  <to>
                    <xdr:col>5</xdr:col>
                    <xdr:colOff>819150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5</xdr:col>
                    <xdr:colOff>9525</xdr:colOff>
                    <xdr:row>27</xdr:row>
                    <xdr:rowOff>0</xdr:rowOff>
                  </from>
                  <to>
                    <xdr:col>5</xdr:col>
                    <xdr:colOff>819150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0</xdr:rowOff>
                  </from>
                  <to>
                    <xdr:col>7</xdr:col>
                    <xdr:colOff>819150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819150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0</xdr:rowOff>
                  </from>
                  <to>
                    <xdr:col>9</xdr:col>
                    <xdr:colOff>819150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9</xdr:col>
                    <xdr:colOff>9525</xdr:colOff>
                    <xdr:row>27</xdr:row>
                    <xdr:rowOff>0</xdr:rowOff>
                  </from>
                  <to>
                    <xdr:col>9</xdr:col>
                    <xdr:colOff>819150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>
                <anchor moveWithCells="1">
                  <from>
                    <xdr:col>9</xdr:col>
                    <xdr:colOff>9525</xdr:colOff>
                    <xdr:row>29</xdr:row>
                    <xdr:rowOff>0</xdr:rowOff>
                  </from>
                  <to>
                    <xdr:col>9</xdr:col>
                    <xdr:colOff>819150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>
                <anchor moveWithCells="1">
                  <from>
                    <xdr:col>9</xdr:col>
                    <xdr:colOff>9525</xdr:colOff>
                    <xdr:row>30</xdr:row>
                    <xdr:rowOff>0</xdr:rowOff>
                  </from>
                  <to>
                    <xdr:col>9</xdr:col>
                    <xdr:colOff>819150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4" name="Check Box 40">
              <controlPr defaultSize="0" autoFill="0" autoLine="0" autoPict="0">
                <anchor moveWithCells="1">
                  <from>
                    <xdr:col>9</xdr:col>
                    <xdr:colOff>9525</xdr:colOff>
                    <xdr:row>27</xdr:row>
                    <xdr:rowOff>0</xdr:rowOff>
                  </from>
                  <to>
                    <xdr:col>9</xdr:col>
                    <xdr:colOff>819150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5" name="Check Box 41">
              <controlPr defaultSize="0" autoFill="0" autoLine="0" autoPict="0">
                <anchor moveWithCells="1">
                  <from>
                    <xdr:col>9</xdr:col>
                    <xdr:colOff>9525</xdr:colOff>
                    <xdr:row>28</xdr:row>
                    <xdr:rowOff>0</xdr:rowOff>
                  </from>
                  <to>
                    <xdr:col>9</xdr:col>
                    <xdr:colOff>819150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6" name="Check Box 42">
              <controlPr defaultSize="0" autoFill="0" autoLine="0" autoPict="0">
                <anchor moveWithCells="1">
                  <from>
                    <xdr:col>11</xdr:col>
                    <xdr:colOff>9525</xdr:colOff>
                    <xdr:row>27</xdr:row>
                    <xdr:rowOff>0</xdr:rowOff>
                  </from>
                  <to>
                    <xdr:col>11</xdr:col>
                    <xdr:colOff>819150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7" name="Check Box 43">
              <controlPr defaultSize="0" autoFill="0" autoLine="0" autoPict="0">
                <anchor moveWithCells="1">
                  <from>
                    <xdr:col>11</xdr:col>
                    <xdr:colOff>9525</xdr:colOff>
                    <xdr:row>26</xdr:row>
                    <xdr:rowOff>0</xdr:rowOff>
                  </from>
                  <to>
                    <xdr:col>11</xdr:col>
                    <xdr:colOff>819150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8" name="Check Box 44">
              <controlPr defaultSize="0" autoFill="0" autoLine="0" autoPict="0">
                <anchor moveWithCells="1">
                  <from>
                    <xdr:col>11</xdr:col>
                    <xdr:colOff>9525</xdr:colOff>
                    <xdr:row>26</xdr:row>
                    <xdr:rowOff>0</xdr:rowOff>
                  </from>
                  <to>
                    <xdr:col>11</xdr:col>
                    <xdr:colOff>819150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9" name="Check Box 48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3</xdr:col>
                    <xdr:colOff>819150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0" name="Check Box 49">
              <controlPr defaultSize="0" autoFill="0" autoLine="0" autoPict="0">
                <anchor moveWithCells="1">
                  <from>
                    <xdr:col>3</xdr:col>
                    <xdr:colOff>9525</xdr:colOff>
                    <xdr:row>34</xdr:row>
                    <xdr:rowOff>0</xdr:rowOff>
                  </from>
                  <to>
                    <xdr:col>3</xdr:col>
                    <xdr:colOff>819150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1" name="Check Box 50">
              <controlPr defaultSize="0" autoFill="0" autoLine="0" autoPict="0">
                <anchor moveWithCells="1">
                  <from>
                    <xdr:col>5</xdr:col>
                    <xdr:colOff>9525</xdr:colOff>
                    <xdr:row>33</xdr:row>
                    <xdr:rowOff>0</xdr:rowOff>
                  </from>
                  <to>
                    <xdr:col>5</xdr:col>
                    <xdr:colOff>819150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2" name="Check Box 51">
              <controlPr defaultSize="0" autoFill="0" autoLine="0" autoPict="0">
                <anchor moveWithCells="1">
                  <from>
                    <xdr:col>5</xdr:col>
                    <xdr:colOff>9525</xdr:colOff>
                    <xdr:row>34</xdr:row>
                    <xdr:rowOff>0</xdr:rowOff>
                  </from>
                  <to>
                    <xdr:col>5</xdr:col>
                    <xdr:colOff>819150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3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33</xdr:row>
                    <xdr:rowOff>0</xdr:rowOff>
                  </from>
                  <to>
                    <xdr:col>7</xdr:col>
                    <xdr:colOff>819150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4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34</xdr:row>
                    <xdr:rowOff>0</xdr:rowOff>
                  </from>
                  <to>
                    <xdr:col>7</xdr:col>
                    <xdr:colOff>819150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5" name="Check Box 54">
              <controlPr defaultSize="0" autoFill="0" autoLine="0" autoPict="0">
                <anchor moveWithCells="1">
                  <from>
                    <xdr:col>9</xdr:col>
                    <xdr:colOff>9525</xdr:colOff>
                    <xdr:row>33</xdr:row>
                    <xdr:rowOff>0</xdr:rowOff>
                  </from>
                  <to>
                    <xdr:col>9</xdr:col>
                    <xdr:colOff>819150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6" name="Check Box 55">
              <controlPr defaultSize="0" autoFill="0" autoLine="0" autoPict="0">
                <anchor moveWithCells="1">
                  <from>
                    <xdr:col>9</xdr:col>
                    <xdr:colOff>9525</xdr:colOff>
                    <xdr:row>34</xdr:row>
                    <xdr:rowOff>0</xdr:rowOff>
                  </from>
                  <to>
                    <xdr:col>9</xdr:col>
                    <xdr:colOff>819150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27" name="Check Box 56">
              <controlPr defaultSize="0" autoFill="0" autoLine="0" autoPict="0">
                <anchor moveWithCells="1">
                  <from>
                    <xdr:col>9</xdr:col>
                    <xdr:colOff>9525</xdr:colOff>
                    <xdr:row>36</xdr:row>
                    <xdr:rowOff>0</xdr:rowOff>
                  </from>
                  <to>
                    <xdr:col>9</xdr:col>
                    <xdr:colOff>819150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8" name="Check Box 57">
              <controlPr defaultSize="0" autoFill="0" autoLine="0" autoPict="0">
                <anchor moveWithCells="1">
                  <from>
                    <xdr:col>9</xdr:col>
                    <xdr:colOff>9525</xdr:colOff>
                    <xdr:row>37</xdr:row>
                    <xdr:rowOff>0</xdr:rowOff>
                  </from>
                  <to>
                    <xdr:col>9</xdr:col>
                    <xdr:colOff>819150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9" name="Check Box 58">
              <controlPr defaultSize="0" autoFill="0" autoLine="0" autoPict="0">
                <anchor moveWithCells="1">
                  <from>
                    <xdr:col>9</xdr:col>
                    <xdr:colOff>9525</xdr:colOff>
                    <xdr:row>34</xdr:row>
                    <xdr:rowOff>0</xdr:rowOff>
                  </from>
                  <to>
                    <xdr:col>9</xdr:col>
                    <xdr:colOff>819150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0" name="Check Box 59">
              <controlPr defaultSize="0" autoFill="0" autoLine="0" autoPict="0">
                <anchor moveWithCells="1">
                  <from>
                    <xdr:col>9</xdr:col>
                    <xdr:colOff>9525</xdr:colOff>
                    <xdr:row>35</xdr:row>
                    <xdr:rowOff>0</xdr:rowOff>
                  </from>
                  <to>
                    <xdr:col>9</xdr:col>
                    <xdr:colOff>819150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1" name="Check Box 60">
              <controlPr defaultSize="0" autoFill="0" autoLine="0" autoPict="0">
                <anchor moveWithCells="1">
                  <from>
                    <xdr:col>11</xdr:col>
                    <xdr:colOff>9525</xdr:colOff>
                    <xdr:row>34</xdr:row>
                    <xdr:rowOff>0</xdr:rowOff>
                  </from>
                  <to>
                    <xdr:col>11</xdr:col>
                    <xdr:colOff>819150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32" name="Check Box 61">
              <controlPr defaultSize="0" autoFill="0" autoLine="0" autoPict="0">
                <anchor moveWithCells="1">
                  <from>
                    <xdr:col>11</xdr:col>
                    <xdr:colOff>9525</xdr:colOff>
                    <xdr:row>33</xdr:row>
                    <xdr:rowOff>0</xdr:rowOff>
                  </from>
                  <to>
                    <xdr:col>11</xdr:col>
                    <xdr:colOff>819150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3" name="Check Box 62">
              <controlPr defaultSize="0" autoFill="0" autoLine="0" autoPict="0">
                <anchor moveWithCells="1">
                  <from>
                    <xdr:col>11</xdr:col>
                    <xdr:colOff>9525</xdr:colOff>
                    <xdr:row>33</xdr:row>
                    <xdr:rowOff>0</xdr:rowOff>
                  </from>
                  <to>
                    <xdr:col>11</xdr:col>
                    <xdr:colOff>819150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34" name="Check Box 63">
              <controlPr defaultSize="0" autoFill="0" autoLine="0" autoPict="0">
                <anchor>
                  <from>
                    <xdr:col>1</xdr:col>
                    <xdr:colOff>0</xdr:colOff>
                    <xdr:row>31</xdr:row>
                    <xdr:rowOff>180975</xdr:rowOff>
                  </from>
                  <to>
                    <xdr:col>2</xdr:col>
                    <xdr:colOff>76200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35" name="Check Box 64">
              <controlPr defaultSize="0" autoFill="0" autoLine="0" autoPict="0">
                <anchor moveWithCells="1">
                  <from>
                    <xdr:col>0</xdr:col>
                    <xdr:colOff>1333500</xdr:colOff>
                    <xdr:row>24</xdr:row>
                    <xdr:rowOff>190500</xdr:rowOff>
                  </from>
                  <to>
                    <xdr:col>2</xdr:col>
                    <xdr:colOff>66675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36" name="Button 65">
              <controlPr defaultSize="0" print="0" autoFill="0" autoPict="0" macro="[0]!Clear_First" altText="Clear All">
                <anchor moveWithCells="1">
                  <from>
                    <xdr:col>0</xdr:col>
                    <xdr:colOff>295275</xdr:colOff>
                    <xdr:row>27</xdr:row>
                    <xdr:rowOff>57150</xdr:rowOff>
                  </from>
                  <to>
                    <xdr:col>0</xdr:col>
                    <xdr:colOff>1123950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37" name="Button 66">
              <controlPr defaultSize="0" print="0" autoFill="0" autoPict="0" macro="[0]!Clear_Second" altText="Clear All">
                <anchor>
                  <from>
                    <xdr:col>0</xdr:col>
                    <xdr:colOff>314325</xdr:colOff>
                    <xdr:row>34</xdr:row>
                    <xdr:rowOff>66675</xdr:rowOff>
                  </from>
                  <to>
                    <xdr:col>0</xdr:col>
                    <xdr:colOff>1057275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M32"/>
  <sheetViews>
    <sheetView workbookViewId="0">
      <selection activeCell="R10" sqref="R10"/>
    </sheetView>
  </sheetViews>
  <sheetFormatPr defaultRowHeight="15" x14ac:dyDescent="0.25"/>
  <cols>
    <col min="1" max="1" width="15" customWidth="1"/>
    <col min="2" max="13" width="11.7109375" customWidth="1"/>
  </cols>
  <sheetData>
    <row r="1" spans="1:13" x14ac:dyDescent="0.25">
      <c r="A1" s="3" t="s">
        <v>23</v>
      </c>
      <c r="E1" s="30"/>
      <c r="F1" s="30"/>
      <c r="G1" s="30"/>
      <c r="H1" s="30"/>
      <c r="I1" s="30"/>
      <c r="J1" s="30"/>
      <c r="M1" s="62">
        <v>40875</v>
      </c>
    </row>
    <row r="2" spans="1:13" x14ac:dyDescent="0.25">
      <c r="A2" t="s">
        <v>21</v>
      </c>
      <c r="E2" s="30"/>
      <c r="F2" s="30"/>
      <c r="G2" s="30"/>
      <c r="H2" s="30"/>
      <c r="I2" s="30"/>
    </row>
    <row r="3" spans="1:13" x14ac:dyDescent="0.25">
      <c r="A3" t="s">
        <v>22</v>
      </c>
      <c r="E3" s="30"/>
      <c r="F3" s="30"/>
      <c r="G3" s="30"/>
      <c r="H3" s="30"/>
      <c r="I3" s="30"/>
    </row>
    <row r="4" spans="1:13" x14ac:dyDescent="0.25">
      <c r="A4" t="s">
        <v>36</v>
      </c>
    </row>
    <row r="5" spans="1:13" x14ac:dyDescent="0.25">
      <c r="A5" t="s">
        <v>27</v>
      </c>
    </row>
    <row r="6" spans="1:13" x14ac:dyDescent="0.25">
      <c r="A6" t="s">
        <v>12</v>
      </c>
    </row>
    <row r="7" spans="1:13" x14ac:dyDescent="0.25">
      <c r="A7" s="3" t="s">
        <v>10</v>
      </c>
      <c r="B7" s="25" t="s">
        <v>1</v>
      </c>
      <c r="C7" s="26" t="s">
        <v>2</v>
      </c>
      <c r="D7" s="27" t="s">
        <v>6</v>
      </c>
      <c r="E7" s="179" t="s">
        <v>11</v>
      </c>
      <c r="F7" s="180"/>
    </row>
    <row r="8" spans="1:13" ht="123" customHeight="1" x14ac:dyDescent="0.25">
      <c r="A8" s="1"/>
      <c r="B8" s="64" t="s">
        <v>0</v>
      </c>
      <c r="C8" s="64" t="s">
        <v>3</v>
      </c>
      <c r="D8" s="64" t="s">
        <v>15</v>
      </c>
      <c r="E8" s="64" t="s">
        <v>4</v>
      </c>
      <c r="F8" s="64" t="s">
        <v>16</v>
      </c>
      <c r="G8" s="64" t="s">
        <v>17</v>
      </c>
      <c r="H8" s="64" t="s">
        <v>18</v>
      </c>
      <c r="I8" s="64" t="s">
        <v>19</v>
      </c>
      <c r="J8" s="64" t="s">
        <v>30</v>
      </c>
      <c r="K8" s="64" t="s">
        <v>31</v>
      </c>
      <c r="L8" s="64" t="s">
        <v>28</v>
      </c>
      <c r="M8" s="64" t="s">
        <v>33</v>
      </c>
    </row>
    <row r="9" spans="1:13" x14ac:dyDescent="0.25">
      <c r="A9" s="9" t="s">
        <v>5</v>
      </c>
      <c r="B9" s="5"/>
      <c r="C9" s="5"/>
      <c r="D9" s="5"/>
      <c r="E9" s="5"/>
      <c r="F9" s="5"/>
      <c r="G9" s="5"/>
      <c r="H9" s="5"/>
      <c r="I9" s="5"/>
      <c r="J9" s="5"/>
      <c r="K9" s="5"/>
      <c r="L9" s="28"/>
      <c r="M9" s="28"/>
    </row>
    <row r="10" spans="1:13" ht="15.75" thickBot="1" x14ac:dyDescent="0.3">
      <c r="A10" s="10" t="s">
        <v>7</v>
      </c>
      <c r="B10" s="181" t="s">
        <v>20</v>
      </c>
      <c r="C10" s="182"/>
      <c r="D10" s="182"/>
      <c r="E10" s="182"/>
      <c r="F10" s="182"/>
      <c r="G10" s="182"/>
      <c r="H10" s="182"/>
      <c r="I10" s="182"/>
      <c r="J10" s="182"/>
      <c r="K10" s="61"/>
      <c r="L10" s="4"/>
      <c r="M10" s="4"/>
    </row>
    <row r="11" spans="1:13" x14ac:dyDescent="0.25">
      <c r="A11" s="7">
        <v>1000</v>
      </c>
      <c r="B11" s="11"/>
      <c r="C11" s="11"/>
      <c r="D11" s="11"/>
      <c r="E11" s="11"/>
      <c r="F11" s="11"/>
      <c r="G11" s="11"/>
      <c r="H11" s="60"/>
      <c r="I11" s="12"/>
      <c r="J11" s="12"/>
      <c r="K11" s="52"/>
      <c r="L11" s="18" t="s">
        <v>29</v>
      </c>
      <c r="M11" s="18" t="s">
        <v>29</v>
      </c>
    </row>
    <row r="12" spans="1:13" x14ac:dyDescent="0.25">
      <c r="A12" s="8">
        <v>2500</v>
      </c>
      <c r="B12" s="13"/>
      <c r="C12" s="13"/>
      <c r="D12" s="13"/>
      <c r="E12" s="13"/>
      <c r="F12" s="13"/>
      <c r="G12" s="13"/>
      <c r="H12" s="51"/>
      <c r="I12" s="12"/>
      <c r="J12" s="12"/>
      <c r="K12" s="52"/>
      <c r="L12" s="18" t="s">
        <v>29</v>
      </c>
      <c r="M12" s="18" t="s">
        <v>29</v>
      </c>
    </row>
    <row r="13" spans="1:13" ht="15.75" thickBot="1" x14ac:dyDescent="0.3">
      <c r="A13" s="7">
        <v>5000</v>
      </c>
      <c r="B13" s="14"/>
      <c r="C13" s="14"/>
      <c r="D13" s="14"/>
      <c r="E13" s="14"/>
      <c r="F13" s="14"/>
      <c r="G13" s="14"/>
      <c r="H13" s="38"/>
      <c r="I13" s="12"/>
      <c r="J13" s="12"/>
      <c r="K13" s="43"/>
      <c r="L13" s="18" t="s">
        <v>29</v>
      </c>
      <c r="M13" s="18" t="s">
        <v>32</v>
      </c>
    </row>
    <row r="14" spans="1:13" ht="15.75" thickBot="1" x14ac:dyDescent="0.3">
      <c r="A14" s="8">
        <v>10000</v>
      </c>
      <c r="B14" s="13"/>
      <c r="C14" s="13"/>
      <c r="D14" s="13"/>
      <c r="E14" s="13"/>
      <c r="F14" s="32"/>
      <c r="G14" s="38"/>
      <c r="H14" s="59"/>
      <c r="I14" s="12"/>
      <c r="J14" s="43"/>
      <c r="K14" s="18"/>
      <c r="L14" s="18" t="s">
        <v>29</v>
      </c>
      <c r="M14" s="11" t="s">
        <v>1</v>
      </c>
    </row>
    <row r="15" spans="1:13" ht="15.75" thickBot="1" x14ac:dyDescent="0.3">
      <c r="A15" s="7">
        <v>15000</v>
      </c>
      <c r="B15" s="14"/>
      <c r="C15" s="14"/>
      <c r="D15" s="32"/>
      <c r="E15" s="38"/>
      <c r="F15" s="31"/>
      <c r="G15" s="57"/>
      <c r="H15" s="58"/>
      <c r="I15" s="43"/>
      <c r="J15" s="18"/>
      <c r="K15" s="18"/>
      <c r="L15" s="18" t="s">
        <v>29</v>
      </c>
      <c r="M15" s="11" t="s">
        <v>1</v>
      </c>
    </row>
    <row r="16" spans="1:13" ht="15.75" thickBot="1" x14ac:dyDescent="0.3">
      <c r="A16" s="8">
        <v>20000</v>
      </c>
      <c r="B16" s="13"/>
      <c r="C16" s="36"/>
      <c r="D16" s="15"/>
      <c r="E16" s="15"/>
      <c r="F16" s="50"/>
      <c r="G16" s="56"/>
      <c r="H16" s="18"/>
      <c r="I16" s="18"/>
      <c r="J16" s="18"/>
      <c r="K16" s="18"/>
      <c r="L16" s="18" t="s">
        <v>29</v>
      </c>
      <c r="M16" s="16" t="s">
        <v>2</v>
      </c>
    </row>
    <row r="17" spans="1:13" ht="15.75" thickBot="1" x14ac:dyDescent="0.3">
      <c r="A17" s="7">
        <v>25000</v>
      </c>
      <c r="B17" s="14"/>
      <c r="C17" s="37"/>
      <c r="D17" s="34"/>
      <c r="E17" s="46"/>
      <c r="F17" s="12"/>
      <c r="G17" s="45"/>
      <c r="H17" s="20"/>
      <c r="I17" s="18"/>
      <c r="J17" s="18"/>
      <c r="K17" s="18"/>
      <c r="L17" s="18" t="s">
        <v>32</v>
      </c>
      <c r="M17" s="16" t="s">
        <v>2</v>
      </c>
    </row>
    <row r="18" spans="1:13" ht="15.75" thickBot="1" x14ac:dyDescent="0.3">
      <c r="A18" s="8">
        <v>30000</v>
      </c>
      <c r="B18" s="13"/>
      <c r="C18" s="38"/>
      <c r="D18" s="48"/>
      <c r="E18" s="47"/>
      <c r="F18" s="19"/>
      <c r="G18" s="43"/>
      <c r="H18" s="21"/>
      <c r="I18" s="18"/>
      <c r="J18" s="18"/>
      <c r="K18" s="18"/>
      <c r="L18" s="18" t="s">
        <v>32</v>
      </c>
      <c r="M18" s="12" t="s">
        <v>6</v>
      </c>
    </row>
    <row r="19" spans="1:13" ht="15.75" thickBot="1" x14ac:dyDescent="0.3">
      <c r="A19" s="7">
        <v>40000</v>
      </c>
      <c r="B19" s="39"/>
      <c r="C19" s="49"/>
      <c r="D19" s="17"/>
      <c r="E19" s="12"/>
      <c r="F19" s="43"/>
      <c r="G19" s="18"/>
      <c r="H19" s="20"/>
      <c r="I19" s="18"/>
      <c r="J19" s="18"/>
      <c r="K19" s="18"/>
      <c r="L19" s="18" t="s">
        <v>32</v>
      </c>
      <c r="M19" s="12" t="s">
        <v>6</v>
      </c>
    </row>
    <row r="20" spans="1:13" ht="15.75" thickBot="1" x14ac:dyDescent="0.3">
      <c r="A20" s="8">
        <v>50000</v>
      </c>
      <c r="B20" s="40"/>
      <c r="C20" s="53"/>
      <c r="D20" s="55"/>
      <c r="E20" s="44"/>
      <c r="F20" s="21"/>
      <c r="G20" s="21"/>
      <c r="H20" s="21"/>
      <c r="I20" s="18"/>
      <c r="J20" s="18"/>
      <c r="K20" s="18"/>
      <c r="L20" s="18" t="s">
        <v>32</v>
      </c>
      <c r="M20" s="12" t="s">
        <v>6</v>
      </c>
    </row>
    <row r="21" spans="1:13" ht="15.75" thickBot="1" x14ac:dyDescent="0.3">
      <c r="A21" s="7">
        <v>75000</v>
      </c>
      <c r="B21" s="31"/>
      <c r="C21" s="42"/>
      <c r="D21" s="54"/>
      <c r="E21" s="43"/>
      <c r="F21" s="20"/>
      <c r="G21" s="20"/>
      <c r="H21" s="20"/>
      <c r="I21" s="18"/>
      <c r="J21" s="18"/>
      <c r="K21" s="18"/>
      <c r="L21" s="18"/>
      <c r="M21" s="18"/>
    </row>
    <row r="22" spans="1:13" ht="15.75" thickBot="1" x14ac:dyDescent="0.3">
      <c r="A22" s="8">
        <v>100000</v>
      </c>
      <c r="B22" s="33"/>
      <c r="C22" s="41"/>
      <c r="D22" s="21"/>
      <c r="E22" s="21"/>
      <c r="F22" s="21"/>
      <c r="G22" s="21"/>
      <c r="H22" s="21"/>
      <c r="I22" s="18"/>
      <c r="J22" s="18"/>
      <c r="K22" s="18"/>
      <c r="L22" s="18"/>
      <c r="M22" s="18"/>
    </row>
    <row r="23" spans="1:13" ht="15.75" thickBot="1" x14ac:dyDescent="0.3">
      <c r="A23" s="7">
        <v>150000</v>
      </c>
      <c r="B23" s="35"/>
      <c r="C23" s="43"/>
      <c r="D23" s="20"/>
      <c r="E23" s="20"/>
      <c r="F23" s="20"/>
      <c r="G23" s="20"/>
      <c r="H23" s="20"/>
      <c r="I23" s="18"/>
      <c r="J23" s="18"/>
      <c r="K23" s="18"/>
      <c r="L23" s="18"/>
      <c r="M23" s="18"/>
    </row>
    <row r="24" spans="1:13" x14ac:dyDescent="0.25">
      <c r="A24" s="9" t="s">
        <v>8</v>
      </c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</row>
    <row r="25" spans="1:13" x14ac:dyDescent="0.25">
      <c r="A25" s="23" t="s">
        <v>26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25">
      <c r="A26" s="23" t="s">
        <v>24</v>
      </c>
      <c r="B26" s="24"/>
    </row>
    <row r="27" spans="1:13" x14ac:dyDescent="0.25">
      <c r="A27" s="23" t="s">
        <v>13</v>
      </c>
      <c r="B27" s="2"/>
    </row>
    <row r="28" spans="1:13" x14ac:dyDescent="0.25">
      <c r="A28" s="23" t="s">
        <v>25</v>
      </c>
      <c r="B28" s="2"/>
    </row>
    <row r="29" spans="1:13" x14ac:dyDescent="0.25">
      <c r="A29" s="23" t="s">
        <v>14</v>
      </c>
      <c r="B29" s="2"/>
    </row>
    <row r="31" spans="1:13" x14ac:dyDescent="0.25">
      <c r="A31" t="s">
        <v>34</v>
      </c>
    </row>
    <row r="32" spans="1:13" x14ac:dyDescent="0.25">
      <c r="A32" s="63" t="s">
        <v>35</v>
      </c>
    </row>
  </sheetData>
  <mergeCells count="2">
    <mergeCell ref="E7:F7"/>
    <mergeCell ref="B10:J10"/>
  </mergeCells>
  <hyperlinks>
    <hyperlink ref="A32" r:id="rId1"/>
  </hyperlinks>
  <pageMargins left="0.7" right="0.7" top="0.75" bottom="0.75" header="0.3" footer="0.3"/>
  <pageSetup scale="79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Process</vt:lpstr>
      <vt:lpstr>SPC turnarounds</vt:lpstr>
      <vt:lpstr>Factor</vt:lpstr>
      <vt:lpstr>Process!Print_Area</vt:lpstr>
      <vt:lpstr>PrintType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Henricksen</dc:creator>
  <cp:lastModifiedBy>Theresa Glabach</cp:lastModifiedBy>
  <cp:lastPrinted>2017-09-07T12:25:20Z</cp:lastPrinted>
  <dcterms:created xsi:type="dcterms:W3CDTF">2011-04-06T19:20:20Z</dcterms:created>
  <dcterms:modified xsi:type="dcterms:W3CDTF">2018-12-26T15:07:40Z</dcterms:modified>
</cp:coreProperties>
</file>