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1.xml" ContentType="application/vnd.openxmlformats-officedocument.spreadsheetml.comment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L:\FiveMaplesSales\PRICES\"/>
    </mc:Choice>
  </mc:AlternateContent>
  <workbookProtection workbookPassword="8D2B" lockStructure="1"/>
  <bookViews>
    <workbookView xWindow="0" yWindow="0" windowWidth="28800" windowHeight="12210" activeTab="3"/>
  </bookViews>
  <sheets>
    <sheet name="DocInfo" sheetId="7" r:id="rId1"/>
    <sheet name="PrintingEnv" sheetId="13" r:id="rId2"/>
    <sheet name="TablesAndCalcsEnv" sheetId="12" state="hidden" r:id="rId3"/>
    <sheet name="Printing" sheetId="1" r:id="rId4"/>
    <sheet name="Pricing" sheetId="14" r:id="rId5"/>
    <sheet name="ClientServices" sheetId="15" r:id="rId6"/>
    <sheet name="DiscountLevels" sheetId="16" state="hidden" r:id="rId7"/>
    <sheet name="TablesAndCalcsPrinting" sheetId="2" state="hidden" r:id="rId8"/>
    <sheet name="HousePapers" sheetId="3" state="hidden" r:id="rId9"/>
  </sheets>
  <functionGroups builtInGroupCount="18"/>
  <externalReferences>
    <externalReference r:id="rId10"/>
    <externalReference r:id="rId11"/>
    <externalReference r:id="rId12"/>
  </externalReferences>
  <definedNames>
    <definedName name="_xlnm._FilterDatabase" localSheetId="5" hidden="1">ClientServices!$A$16:$R$48</definedName>
    <definedName name="_xlnm._FilterDatabase" localSheetId="4" hidden="1">Pricing!$A$2:$L$2</definedName>
    <definedName name="_xlnm.Print_Area" localSheetId="4">Pricing!$A$2:$O$264</definedName>
    <definedName name="_xlnm.Print_Area" localSheetId="3">Printing!$A$1:$F$29</definedName>
    <definedName name="_xlnm.Print_Area" localSheetId="1">PrintingEnv!$A$1:$F$24</definedName>
    <definedName name="_xlnm.Print_Area" localSheetId="2">TablesAndCalcsEnv!$A$1:$AS$28</definedName>
    <definedName name="_xlnm.Print_Area" localSheetId="7">TablesAndCalcsPrinting!$A$1:$BT$77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3" l="1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A26" i="3"/>
  <c r="B26" i="3"/>
  <c r="C26" i="3"/>
  <c r="D26" i="3"/>
  <c r="E26" i="3"/>
  <c r="G28" i="12" l="1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N169" i="14" l="1"/>
  <c r="M169" i="14"/>
  <c r="L169" i="14"/>
  <c r="K169" i="14"/>
  <c r="J169" i="14"/>
  <c r="I169" i="14"/>
  <c r="H169" i="14"/>
  <c r="G169" i="14"/>
  <c r="F169" i="14"/>
  <c r="E169" i="14"/>
  <c r="N168" i="14"/>
  <c r="M168" i="14"/>
  <c r="L168" i="14"/>
  <c r="K168" i="14"/>
  <c r="J168" i="14"/>
  <c r="I168" i="14"/>
  <c r="H168" i="14"/>
  <c r="G168" i="14"/>
  <c r="F168" i="14"/>
  <c r="E168" i="14"/>
  <c r="N167" i="14"/>
  <c r="M167" i="14"/>
  <c r="L167" i="14"/>
  <c r="K167" i="14"/>
  <c r="J167" i="14"/>
  <c r="I167" i="14"/>
  <c r="H167" i="14"/>
  <c r="G167" i="14"/>
  <c r="F167" i="14"/>
  <c r="E167" i="14"/>
  <c r="N166" i="14"/>
  <c r="M166" i="14"/>
  <c r="L166" i="14"/>
  <c r="K166" i="14"/>
  <c r="J166" i="14"/>
  <c r="I166" i="14"/>
  <c r="H166" i="14"/>
  <c r="G166" i="14"/>
  <c r="F166" i="14"/>
  <c r="E166" i="14"/>
  <c r="N165" i="14"/>
  <c r="M165" i="14"/>
  <c r="L165" i="14"/>
  <c r="K165" i="14"/>
  <c r="J165" i="14"/>
  <c r="I165" i="14"/>
  <c r="H165" i="14"/>
  <c r="G165" i="14"/>
  <c r="F165" i="14"/>
  <c r="E165" i="14"/>
  <c r="N164" i="14"/>
  <c r="M164" i="14"/>
  <c r="L164" i="14"/>
  <c r="K164" i="14"/>
  <c r="J164" i="14"/>
  <c r="I164" i="14"/>
  <c r="H164" i="14"/>
  <c r="G164" i="14"/>
  <c r="F164" i="14"/>
  <c r="E164" i="14"/>
  <c r="N154" i="14"/>
  <c r="M154" i="14"/>
  <c r="L154" i="14"/>
  <c r="K154" i="14"/>
  <c r="J154" i="14"/>
  <c r="I154" i="14"/>
  <c r="H154" i="14"/>
  <c r="G154" i="14"/>
  <c r="F154" i="14"/>
  <c r="E154" i="14"/>
  <c r="N153" i="14"/>
  <c r="M153" i="14"/>
  <c r="L153" i="14"/>
  <c r="K153" i="14"/>
  <c r="J153" i="14"/>
  <c r="I153" i="14"/>
  <c r="H153" i="14"/>
  <c r="G153" i="14"/>
  <c r="F153" i="14"/>
  <c r="E153" i="14"/>
  <c r="N152" i="14"/>
  <c r="M152" i="14"/>
  <c r="L152" i="14"/>
  <c r="K152" i="14"/>
  <c r="J152" i="14"/>
  <c r="I152" i="14"/>
  <c r="H152" i="14"/>
  <c r="G152" i="14"/>
  <c r="F152" i="14"/>
  <c r="E152" i="14"/>
  <c r="N151" i="14"/>
  <c r="M151" i="14"/>
  <c r="L151" i="14"/>
  <c r="K151" i="14"/>
  <c r="J151" i="14"/>
  <c r="I151" i="14"/>
  <c r="H151" i="14"/>
  <c r="G151" i="14"/>
  <c r="F151" i="14"/>
  <c r="E151" i="14"/>
  <c r="N150" i="14"/>
  <c r="M150" i="14"/>
  <c r="L150" i="14"/>
  <c r="K150" i="14"/>
  <c r="J150" i="14"/>
  <c r="I150" i="14"/>
  <c r="H150" i="14"/>
  <c r="G150" i="14"/>
  <c r="F150" i="14"/>
  <c r="E150" i="14"/>
  <c r="N149" i="14"/>
  <c r="M149" i="14"/>
  <c r="L149" i="14"/>
  <c r="K149" i="14"/>
  <c r="J149" i="14"/>
  <c r="I149" i="14"/>
  <c r="H149" i="14"/>
  <c r="G149" i="14"/>
  <c r="F149" i="14"/>
  <c r="E149" i="14"/>
  <c r="N148" i="14"/>
  <c r="M148" i="14"/>
  <c r="L148" i="14"/>
  <c r="K148" i="14"/>
  <c r="J148" i="14"/>
  <c r="I148" i="14"/>
  <c r="H148" i="14"/>
  <c r="G148" i="14"/>
  <c r="F148" i="14"/>
  <c r="E148" i="14"/>
  <c r="N147" i="14"/>
  <c r="M147" i="14"/>
  <c r="L147" i="14"/>
  <c r="K147" i="14"/>
  <c r="J147" i="14"/>
  <c r="I147" i="14"/>
  <c r="H147" i="14"/>
  <c r="G147" i="14"/>
  <c r="F147" i="14"/>
  <c r="E147" i="14"/>
  <c r="N146" i="14"/>
  <c r="M146" i="14"/>
  <c r="L146" i="14"/>
  <c r="K146" i="14"/>
  <c r="J146" i="14"/>
  <c r="I146" i="14"/>
  <c r="H146" i="14"/>
  <c r="G146" i="14"/>
  <c r="F146" i="14"/>
  <c r="E146" i="14"/>
  <c r="N145" i="14"/>
  <c r="M145" i="14"/>
  <c r="L145" i="14"/>
  <c r="K145" i="14"/>
  <c r="J145" i="14"/>
  <c r="I145" i="14"/>
  <c r="H145" i="14"/>
  <c r="G145" i="14"/>
  <c r="F145" i="14"/>
  <c r="E145" i="14"/>
  <c r="N144" i="14"/>
  <c r="M144" i="14"/>
  <c r="L144" i="14"/>
  <c r="K144" i="14"/>
  <c r="J144" i="14"/>
  <c r="I144" i="14"/>
  <c r="H144" i="14"/>
  <c r="G144" i="14"/>
  <c r="F144" i="14"/>
  <c r="E144" i="14"/>
  <c r="N143" i="14"/>
  <c r="M143" i="14"/>
  <c r="L143" i="14"/>
  <c r="K143" i="14"/>
  <c r="J143" i="14"/>
  <c r="I143" i="14"/>
  <c r="H143" i="14"/>
  <c r="G143" i="14"/>
  <c r="F143" i="14"/>
  <c r="E143" i="14"/>
  <c r="N142" i="14"/>
  <c r="M142" i="14"/>
  <c r="L142" i="14"/>
  <c r="K142" i="14"/>
  <c r="J142" i="14"/>
  <c r="I142" i="14"/>
  <c r="H142" i="14"/>
  <c r="G142" i="14"/>
  <c r="F142" i="14"/>
  <c r="E142" i="14"/>
  <c r="N141" i="14"/>
  <c r="M141" i="14"/>
  <c r="L141" i="14"/>
  <c r="K141" i="14"/>
  <c r="J141" i="14"/>
  <c r="I141" i="14"/>
  <c r="H141" i="14"/>
  <c r="G141" i="14"/>
  <c r="F141" i="14"/>
  <c r="E141" i="14"/>
  <c r="N140" i="14"/>
  <c r="M140" i="14"/>
  <c r="L140" i="14"/>
  <c r="K140" i="14"/>
  <c r="J140" i="14"/>
  <c r="I140" i="14"/>
  <c r="H140" i="14"/>
  <c r="G140" i="14"/>
  <c r="F140" i="14"/>
  <c r="E140" i="14"/>
  <c r="N139" i="14"/>
  <c r="M139" i="14"/>
  <c r="L139" i="14"/>
  <c r="K139" i="14"/>
  <c r="J139" i="14"/>
  <c r="I139" i="14"/>
  <c r="H139" i="14"/>
  <c r="G139" i="14"/>
  <c r="F139" i="14"/>
  <c r="E139" i="14"/>
  <c r="N138" i="14"/>
  <c r="M138" i="14"/>
  <c r="L138" i="14"/>
  <c r="K138" i="14"/>
  <c r="J138" i="14"/>
  <c r="I138" i="14"/>
  <c r="H138" i="14"/>
  <c r="G138" i="14"/>
  <c r="F138" i="14"/>
  <c r="E138" i="14"/>
  <c r="N137" i="14"/>
  <c r="M137" i="14"/>
  <c r="L137" i="14"/>
  <c r="K137" i="14"/>
  <c r="J137" i="14"/>
  <c r="I137" i="14"/>
  <c r="H137" i="14"/>
  <c r="G137" i="14"/>
  <c r="F137" i="14"/>
  <c r="E137" i="14"/>
  <c r="N136" i="14"/>
  <c r="M136" i="14"/>
  <c r="L136" i="14"/>
  <c r="K136" i="14"/>
  <c r="J136" i="14"/>
  <c r="I136" i="14"/>
  <c r="H136" i="14"/>
  <c r="G136" i="14"/>
  <c r="F136" i="14"/>
  <c r="E136" i="14"/>
  <c r="N135" i="14"/>
  <c r="M135" i="14"/>
  <c r="L135" i="14"/>
  <c r="K135" i="14"/>
  <c r="J135" i="14"/>
  <c r="I135" i="14"/>
  <c r="H135" i="14"/>
  <c r="G135" i="14"/>
  <c r="F135" i="14"/>
  <c r="E135" i="14"/>
  <c r="N134" i="14"/>
  <c r="M134" i="14"/>
  <c r="L134" i="14"/>
  <c r="K134" i="14"/>
  <c r="J134" i="14"/>
  <c r="I134" i="14"/>
  <c r="H134" i="14"/>
  <c r="G134" i="14"/>
  <c r="F134" i="14"/>
  <c r="E134" i="14"/>
  <c r="N133" i="14"/>
  <c r="M133" i="14"/>
  <c r="L133" i="14"/>
  <c r="K133" i="14"/>
  <c r="J133" i="14"/>
  <c r="I133" i="14"/>
  <c r="H133" i="14"/>
  <c r="G133" i="14"/>
  <c r="F133" i="14"/>
  <c r="E133" i="14"/>
  <c r="N132" i="14"/>
  <c r="M132" i="14"/>
  <c r="L132" i="14"/>
  <c r="K132" i="14"/>
  <c r="J132" i="14"/>
  <c r="I132" i="14"/>
  <c r="H132" i="14"/>
  <c r="G132" i="14"/>
  <c r="F132" i="14"/>
  <c r="E132" i="14"/>
  <c r="N131" i="14"/>
  <c r="M131" i="14"/>
  <c r="L131" i="14"/>
  <c r="K131" i="14"/>
  <c r="J131" i="14"/>
  <c r="I131" i="14"/>
  <c r="H131" i="14"/>
  <c r="G131" i="14"/>
  <c r="F131" i="14"/>
  <c r="E131" i="14"/>
  <c r="N130" i="14"/>
  <c r="M130" i="14"/>
  <c r="L130" i="14"/>
  <c r="K130" i="14"/>
  <c r="J130" i="14"/>
  <c r="I130" i="14"/>
  <c r="H130" i="14"/>
  <c r="G130" i="14"/>
  <c r="F130" i="14"/>
  <c r="E130" i="14"/>
  <c r="N129" i="14"/>
  <c r="M129" i="14"/>
  <c r="L129" i="14"/>
  <c r="K129" i="14"/>
  <c r="J129" i="14"/>
  <c r="I129" i="14"/>
  <c r="H129" i="14"/>
  <c r="G129" i="14"/>
  <c r="F129" i="14"/>
  <c r="E129" i="14"/>
  <c r="N128" i="14"/>
  <c r="M128" i="14"/>
  <c r="L128" i="14"/>
  <c r="K128" i="14"/>
  <c r="J128" i="14"/>
  <c r="I128" i="14"/>
  <c r="H128" i="14"/>
  <c r="G128" i="14"/>
  <c r="F128" i="14"/>
  <c r="E128" i="14"/>
  <c r="N124" i="14"/>
  <c r="M124" i="14"/>
  <c r="L124" i="14"/>
  <c r="K124" i="14"/>
  <c r="J124" i="14"/>
  <c r="I124" i="14"/>
  <c r="H124" i="14"/>
  <c r="G124" i="14"/>
  <c r="F124" i="14"/>
  <c r="E124" i="14"/>
  <c r="N123" i="14"/>
  <c r="M123" i="14"/>
  <c r="L123" i="14"/>
  <c r="K123" i="14"/>
  <c r="J123" i="14"/>
  <c r="I123" i="14"/>
  <c r="H123" i="14"/>
  <c r="G123" i="14"/>
  <c r="F123" i="14"/>
  <c r="E123" i="14"/>
  <c r="N122" i="14"/>
  <c r="M122" i="14"/>
  <c r="L122" i="14"/>
  <c r="K122" i="14"/>
  <c r="J122" i="14"/>
  <c r="I122" i="14"/>
  <c r="H122" i="14"/>
  <c r="G122" i="14"/>
  <c r="F122" i="14"/>
  <c r="E122" i="14"/>
  <c r="N121" i="14"/>
  <c r="M121" i="14"/>
  <c r="L121" i="14"/>
  <c r="K121" i="14"/>
  <c r="J121" i="14"/>
  <c r="I121" i="14"/>
  <c r="H121" i="14"/>
  <c r="G121" i="14"/>
  <c r="F121" i="14"/>
  <c r="E121" i="14"/>
  <c r="N120" i="14"/>
  <c r="M120" i="14"/>
  <c r="L120" i="14"/>
  <c r="K120" i="14"/>
  <c r="J120" i="14"/>
  <c r="I120" i="14"/>
  <c r="H120" i="14"/>
  <c r="G120" i="14"/>
  <c r="F120" i="14"/>
  <c r="E120" i="14"/>
  <c r="N119" i="14"/>
  <c r="M119" i="14"/>
  <c r="L119" i="14"/>
  <c r="K119" i="14"/>
  <c r="J119" i="14"/>
  <c r="I119" i="14"/>
  <c r="H119" i="14"/>
  <c r="G119" i="14"/>
  <c r="F119" i="14"/>
  <c r="E119" i="14"/>
  <c r="N118" i="14"/>
  <c r="M118" i="14"/>
  <c r="L118" i="14"/>
  <c r="K118" i="14"/>
  <c r="J118" i="14"/>
  <c r="I118" i="14"/>
  <c r="H118" i="14"/>
  <c r="G118" i="14"/>
  <c r="F118" i="14"/>
  <c r="E118" i="14"/>
  <c r="N117" i="14"/>
  <c r="M117" i="14"/>
  <c r="L117" i="14"/>
  <c r="K117" i="14"/>
  <c r="J117" i="14"/>
  <c r="I117" i="14"/>
  <c r="H117" i="14"/>
  <c r="G117" i="14"/>
  <c r="F117" i="14"/>
  <c r="E117" i="14"/>
  <c r="N116" i="14"/>
  <c r="M116" i="14"/>
  <c r="L116" i="14"/>
  <c r="K116" i="14"/>
  <c r="J116" i="14"/>
  <c r="I116" i="14"/>
  <c r="H116" i="14"/>
  <c r="G116" i="14"/>
  <c r="F116" i="14"/>
  <c r="E116" i="14"/>
  <c r="N115" i="14"/>
  <c r="M115" i="14"/>
  <c r="L115" i="14"/>
  <c r="K115" i="14"/>
  <c r="J115" i="14"/>
  <c r="I115" i="14"/>
  <c r="H115" i="14"/>
  <c r="G115" i="14"/>
  <c r="F115" i="14"/>
  <c r="E115" i="14"/>
  <c r="N114" i="14"/>
  <c r="M114" i="14"/>
  <c r="L114" i="14"/>
  <c r="K114" i="14"/>
  <c r="J114" i="14"/>
  <c r="I114" i="14"/>
  <c r="H114" i="14"/>
  <c r="G114" i="14"/>
  <c r="F114" i="14"/>
  <c r="E114" i="14"/>
  <c r="N113" i="14"/>
  <c r="M113" i="14"/>
  <c r="L113" i="14"/>
  <c r="K113" i="14"/>
  <c r="J113" i="14"/>
  <c r="I113" i="14"/>
  <c r="H113" i="14"/>
  <c r="G113" i="14"/>
  <c r="F113" i="14"/>
  <c r="E113" i="14"/>
  <c r="N112" i="14"/>
  <c r="M112" i="14"/>
  <c r="L112" i="14"/>
  <c r="K112" i="14"/>
  <c r="J112" i="14"/>
  <c r="I112" i="14"/>
  <c r="H112" i="14"/>
  <c r="G112" i="14"/>
  <c r="F112" i="14"/>
  <c r="E112" i="14"/>
  <c r="N108" i="14"/>
  <c r="M108" i="14"/>
  <c r="L108" i="14"/>
  <c r="K108" i="14"/>
  <c r="J108" i="14"/>
  <c r="I108" i="14"/>
  <c r="H108" i="14"/>
  <c r="G108" i="14"/>
  <c r="F108" i="14"/>
  <c r="E108" i="14"/>
  <c r="N107" i="14"/>
  <c r="M107" i="14"/>
  <c r="L107" i="14"/>
  <c r="K107" i="14"/>
  <c r="J107" i="14"/>
  <c r="I107" i="14"/>
  <c r="H107" i="14"/>
  <c r="G107" i="14"/>
  <c r="F107" i="14"/>
  <c r="E107" i="14"/>
  <c r="N106" i="14"/>
  <c r="M106" i="14"/>
  <c r="L106" i="14"/>
  <c r="K106" i="14"/>
  <c r="J106" i="14"/>
  <c r="I106" i="14"/>
  <c r="H106" i="14"/>
  <c r="G106" i="14"/>
  <c r="F106" i="14"/>
  <c r="E106" i="14"/>
  <c r="N105" i="14"/>
  <c r="M105" i="14"/>
  <c r="L105" i="14"/>
  <c r="K105" i="14"/>
  <c r="J105" i="14"/>
  <c r="I105" i="14"/>
  <c r="H105" i="14"/>
  <c r="G105" i="14"/>
  <c r="F105" i="14"/>
  <c r="E105" i="14"/>
  <c r="N104" i="14"/>
  <c r="M104" i="14"/>
  <c r="L104" i="14"/>
  <c r="K104" i="14"/>
  <c r="J104" i="14"/>
  <c r="I104" i="14"/>
  <c r="H104" i="14"/>
  <c r="G104" i="14"/>
  <c r="F104" i="14"/>
  <c r="E104" i="14"/>
  <c r="N103" i="14"/>
  <c r="M103" i="14"/>
  <c r="L103" i="14"/>
  <c r="K103" i="14"/>
  <c r="J103" i="14"/>
  <c r="I103" i="14"/>
  <c r="H103" i="14"/>
  <c r="G103" i="14"/>
  <c r="F103" i="14"/>
  <c r="E103" i="14"/>
  <c r="N102" i="14"/>
  <c r="M102" i="14"/>
  <c r="L102" i="14"/>
  <c r="K102" i="14"/>
  <c r="J102" i="14"/>
  <c r="I102" i="14"/>
  <c r="H102" i="14"/>
  <c r="G102" i="14"/>
  <c r="F102" i="14"/>
  <c r="E102" i="14"/>
  <c r="N101" i="14"/>
  <c r="M101" i="14"/>
  <c r="L101" i="14"/>
  <c r="K101" i="14"/>
  <c r="J101" i="14"/>
  <c r="I101" i="14"/>
  <c r="H101" i="14"/>
  <c r="G101" i="14"/>
  <c r="F101" i="14"/>
  <c r="E101" i="14"/>
  <c r="N100" i="14"/>
  <c r="M100" i="14"/>
  <c r="L100" i="14"/>
  <c r="K100" i="14"/>
  <c r="J100" i="14"/>
  <c r="I100" i="14"/>
  <c r="H100" i="14"/>
  <c r="G100" i="14"/>
  <c r="F100" i="14"/>
  <c r="E100" i="14"/>
  <c r="N99" i="14"/>
  <c r="M99" i="14"/>
  <c r="L99" i="14"/>
  <c r="K99" i="14"/>
  <c r="J99" i="14"/>
  <c r="I99" i="14"/>
  <c r="H99" i="14"/>
  <c r="G99" i="14"/>
  <c r="F99" i="14"/>
  <c r="E99" i="14"/>
  <c r="N98" i="14"/>
  <c r="M98" i="14"/>
  <c r="L98" i="14"/>
  <c r="K98" i="14"/>
  <c r="J98" i="14"/>
  <c r="I98" i="14"/>
  <c r="H98" i="14"/>
  <c r="G98" i="14"/>
  <c r="F98" i="14"/>
  <c r="E98" i="14"/>
  <c r="N97" i="14"/>
  <c r="M97" i="14"/>
  <c r="L97" i="14"/>
  <c r="K97" i="14"/>
  <c r="J97" i="14"/>
  <c r="I97" i="14"/>
  <c r="H97" i="14"/>
  <c r="G97" i="14"/>
  <c r="F97" i="14"/>
  <c r="E97" i="14"/>
  <c r="N96" i="14"/>
  <c r="M96" i="14"/>
  <c r="L96" i="14"/>
  <c r="K96" i="14"/>
  <c r="J96" i="14"/>
  <c r="I96" i="14"/>
  <c r="H96" i="14"/>
  <c r="G96" i="14"/>
  <c r="F96" i="14"/>
  <c r="E96" i="14"/>
  <c r="N95" i="14"/>
  <c r="M95" i="14"/>
  <c r="L95" i="14"/>
  <c r="K95" i="14"/>
  <c r="J95" i="14"/>
  <c r="I95" i="14"/>
  <c r="H95" i="14"/>
  <c r="G95" i="14"/>
  <c r="F95" i="14"/>
  <c r="E95" i="14"/>
  <c r="N94" i="14"/>
  <c r="M94" i="14"/>
  <c r="L94" i="14"/>
  <c r="K94" i="14"/>
  <c r="J94" i="14"/>
  <c r="I94" i="14"/>
  <c r="H94" i="14"/>
  <c r="G94" i="14"/>
  <c r="F94" i="14"/>
  <c r="E94" i="14"/>
  <c r="N93" i="14"/>
  <c r="M93" i="14"/>
  <c r="L93" i="14"/>
  <c r="K93" i="14"/>
  <c r="J93" i="14"/>
  <c r="I93" i="14"/>
  <c r="H93" i="14"/>
  <c r="G93" i="14"/>
  <c r="F93" i="14"/>
  <c r="E93" i="14"/>
  <c r="N92" i="14"/>
  <c r="M92" i="14"/>
  <c r="L92" i="14"/>
  <c r="K92" i="14"/>
  <c r="J92" i="14"/>
  <c r="I92" i="14"/>
  <c r="H92" i="14"/>
  <c r="G92" i="14"/>
  <c r="F92" i="14"/>
  <c r="E92" i="14"/>
  <c r="N91" i="14"/>
  <c r="M91" i="14"/>
  <c r="L91" i="14"/>
  <c r="K91" i="14"/>
  <c r="J91" i="14"/>
  <c r="I91" i="14"/>
  <c r="H91" i="14"/>
  <c r="G91" i="14"/>
  <c r="F91" i="14"/>
  <c r="E91" i="14"/>
  <c r="N90" i="14"/>
  <c r="M90" i="14"/>
  <c r="L90" i="14"/>
  <c r="K90" i="14"/>
  <c r="J90" i="14"/>
  <c r="I90" i="14"/>
  <c r="H90" i="14"/>
  <c r="G90" i="14"/>
  <c r="F90" i="14"/>
  <c r="E90" i="14"/>
  <c r="N89" i="14"/>
  <c r="M89" i="14"/>
  <c r="L89" i="14"/>
  <c r="K89" i="14"/>
  <c r="J89" i="14"/>
  <c r="I89" i="14"/>
  <c r="H89" i="14"/>
  <c r="G89" i="14"/>
  <c r="F89" i="14"/>
  <c r="E89" i="14"/>
  <c r="N88" i="14"/>
  <c r="M88" i="14"/>
  <c r="L88" i="14"/>
  <c r="K88" i="14"/>
  <c r="J88" i="14"/>
  <c r="I88" i="14"/>
  <c r="H88" i="14"/>
  <c r="G88" i="14"/>
  <c r="F88" i="14"/>
  <c r="E88" i="14"/>
  <c r="N87" i="14"/>
  <c r="M87" i="14"/>
  <c r="L87" i="14"/>
  <c r="K87" i="14"/>
  <c r="J87" i="14"/>
  <c r="I87" i="14"/>
  <c r="H87" i="14"/>
  <c r="G87" i="14"/>
  <c r="F87" i="14"/>
  <c r="E87" i="14"/>
  <c r="N86" i="14"/>
  <c r="M86" i="14"/>
  <c r="L86" i="14"/>
  <c r="K86" i="14"/>
  <c r="J86" i="14"/>
  <c r="I86" i="14"/>
  <c r="H86" i="14"/>
  <c r="G86" i="14"/>
  <c r="F86" i="14"/>
  <c r="E86" i="14"/>
  <c r="N85" i="14"/>
  <c r="M85" i="14"/>
  <c r="L85" i="14"/>
  <c r="K85" i="14"/>
  <c r="J85" i="14"/>
  <c r="I85" i="14"/>
  <c r="H85" i="14"/>
  <c r="G85" i="14"/>
  <c r="F85" i="14"/>
  <c r="E85" i="14"/>
  <c r="N84" i="14"/>
  <c r="M84" i="14"/>
  <c r="L84" i="14"/>
  <c r="K84" i="14"/>
  <c r="J84" i="14"/>
  <c r="I84" i="14"/>
  <c r="H84" i="14"/>
  <c r="G84" i="14"/>
  <c r="F84" i="14"/>
  <c r="E84" i="14"/>
  <c r="N83" i="14"/>
  <c r="M83" i="14"/>
  <c r="L83" i="14"/>
  <c r="K83" i="14"/>
  <c r="J83" i="14"/>
  <c r="I83" i="14"/>
  <c r="H83" i="14"/>
  <c r="G83" i="14"/>
  <c r="F83" i="14"/>
  <c r="E83" i="14"/>
  <c r="N82" i="14"/>
  <c r="M82" i="14"/>
  <c r="L82" i="14"/>
  <c r="K82" i="14"/>
  <c r="J82" i="14"/>
  <c r="I82" i="14"/>
  <c r="H82" i="14"/>
  <c r="G82" i="14"/>
  <c r="F82" i="14"/>
  <c r="E82" i="14"/>
  <c r="N81" i="14"/>
  <c r="M81" i="14"/>
  <c r="L81" i="14"/>
  <c r="K81" i="14"/>
  <c r="J81" i="14"/>
  <c r="I81" i="14"/>
  <c r="H81" i="14"/>
  <c r="G81" i="14"/>
  <c r="F81" i="14"/>
  <c r="E81" i="14"/>
  <c r="L69" i="14"/>
  <c r="K69" i="14"/>
  <c r="J69" i="14"/>
  <c r="I69" i="14"/>
  <c r="H69" i="14"/>
  <c r="G69" i="14"/>
  <c r="F69" i="14"/>
  <c r="E69" i="14"/>
  <c r="L68" i="14"/>
  <c r="K68" i="14"/>
  <c r="J68" i="14"/>
  <c r="I68" i="14"/>
  <c r="H68" i="14"/>
  <c r="L67" i="14"/>
  <c r="K67" i="14"/>
  <c r="J67" i="14"/>
  <c r="I67" i="14"/>
  <c r="H67" i="14"/>
  <c r="L66" i="14"/>
  <c r="K66" i="14"/>
  <c r="J66" i="14"/>
  <c r="I66" i="14"/>
  <c r="H66" i="14"/>
  <c r="L65" i="14"/>
  <c r="K65" i="14"/>
  <c r="J65" i="14"/>
  <c r="I65" i="14"/>
  <c r="H65" i="14"/>
  <c r="L64" i="14"/>
  <c r="K64" i="14"/>
  <c r="J64" i="14"/>
  <c r="I64" i="14"/>
  <c r="H64" i="14"/>
  <c r="G64" i="14"/>
  <c r="F64" i="14"/>
  <c r="L63" i="14"/>
  <c r="K63" i="14"/>
  <c r="J63" i="14"/>
  <c r="I63" i="14"/>
  <c r="H63" i="14"/>
  <c r="G63" i="14"/>
  <c r="F63" i="14"/>
  <c r="L62" i="14"/>
  <c r="K62" i="14"/>
  <c r="J62" i="14"/>
  <c r="I62" i="14"/>
  <c r="H62" i="14"/>
  <c r="G62" i="14"/>
  <c r="F62" i="14"/>
  <c r="L60" i="14"/>
  <c r="K60" i="14"/>
  <c r="J60" i="14"/>
  <c r="I60" i="14"/>
  <c r="H60" i="14"/>
  <c r="G60" i="14"/>
  <c r="F60" i="14"/>
  <c r="L59" i="14"/>
  <c r="K59" i="14"/>
  <c r="J59" i="14"/>
  <c r="I59" i="14"/>
  <c r="H59" i="14"/>
  <c r="G59" i="14"/>
  <c r="F59" i="14"/>
  <c r="L58" i="14"/>
  <c r="K58" i="14"/>
  <c r="J58" i="14"/>
  <c r="I58" i="14"/>
  <c r="H58" i="14"/>
  <c r="G58" i="14"/>
  <c r="F58" i="14"/>
  <c r="L57" i="14"/>
  <c r="K57" i="14"/>
  <c r="J57" i="14"/>
  <c r="I57" i="14"/>
  <c r="H57" i="14"/>
  <c r="G57" i="14"/>
  <c r="F57" i="14"/>
  <c r="L56" i="14"/>
  <c r="K56" i="14"/>
  <c r="J56" i="14"/>
  <c r="I56" i="14"/>
  <c r="H56" i="14"/>
  <c r="G56" i="14"/>
  <c r="F56" i="14"/>
  <c r="L55" i="14"/>
  <c r="K55" i="14"/>
  <c r="J55" i="14"/>
  <c r="I55" i="14"/>
  <c r="H55" i="14"/>
  <c r="G55" i="14"/>
  <c r="F55" i="14"/>
  <c r="L54" i="14"/>
  <c r="K54" i="14"/>
  <c r="J54" i="14"/>
  <c r="I54" i="14"/>
  <c r="H54" i="14"/>
  <c r="G54" i="14"/>
  <c r="E54" i="14"/>
  <c r="F54" i="14"/>
  <c r="E62" i="14"/>
  <c r="E60" i="14"/>
  <c r="E59" i="14"/>
  <c r="E58" i="14"/>
  <c r="E57" i="14"/>
  <c r="E56" i="14"/>
  <c r="E55" i="14"/>
  <c r="K1048542" i="15" l="1"/>
  <c r="J1048542" i="15"/>
  <c r="I1048542" i="15"/>
  <c r="E64" i="14"/>
  <c r="E63" i="14"/>
  <c r="F2" i="13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O3" i="3"/>
  <c r="N3" i="3"/>
  <c r="M3" i="3"/>
  <c r="L3" i="3"/>
  <c r="K3" i="3"/>
  <c r="J3" i="3"/>
  <c r="I3" i="3"/>
  <c r="H3" i="3"/>
  <c r="G3" i="3"/>
  <c r="F3" i="3"/>
  <c r="B16" i="1"/>
  <c r="F2" i="1" l="1"/>
  <c r="D16" i="1"/>
  <c r="E16" i="1"/>
  <c r="A4" i="3" l="1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3" i="3"/>
  <c r="B3" i="3"/>
  <c r="C3" i="3"/>
  <c r="D3" i="3"/>
  <c r="E3" i="3"/>
  <c r="E20" i="13"/>
  <c r="D14" i="13"/>
  <c r="B20" i="13"/>
  <c r="C23" i="13"/>
  <c r="E17" i="13"/>
  <c r="B14" i="13"/>
  <c r="F20" i="13"/>
  <c r="F17" i="13"/>
  <c r="F23" i="13"/>
  <c r="B23" i="13"/>
  <c r="C20" i="13"/>
  <c r="C14" i="13"/>
  <c r="D20" i="13"/>
  <c r="E11" i="13"/>
  <c r="B11" i="13"/>
  <c r="D17" i="13"/>
  <c r="E14" i="13"/>
  <c r="F14" i="13"/>
  <c r="F11" i="13"/>
  <c r="B17" i="13"/>
  <c r="C11" i="13"/>
  <c r="E23" i="13"/>
  <c r="D23" i="13"/>
  <c r="C17" i="13"/>
  <c r="D11" i="13"/>
  <c r="C16" i="1"/>
  <c r="F12" i="13" l="1"/>
  <c r="B12" i="13"/>
  <c r="C12" i="13"/>
  <c r="E15" i="13"/>
  <c r="B17" i="1"/>
  <c r="D12" i="13"/>
  <c r="E12" i="13"/>
  <c r="B15" i="13"/>
  <c r="D15" i="13"/>
  <c r="F15" i="13"/>
  <c r="C15" i="13"/>
  <c r="C24" i="13"/>
  <c r="D24" i="13"/>
  <c r="F24" i="13"/>
  <c r="B24" i="13"/>
  <c r="E24" i="13"/>
  <c r="B21" i="13"/>
  <c r="C21" i="13"/>
  <c r="D21" i="13"/>
  <c r="E21" i="13"/>
  <c r="F21" i="13"/>
  <c r="B18" i="13"/>
  <c r="C18" i="13"/>
  <c r="D18" i="13"/>
  <c r="E18" i="13"/>
  <c r="F18" i="13"/>
  <c r="E17" i="1" l="1"/>
  <c r="D17" i="1"/>
  <c r="C17" i="1"/>
  <c r="F19" i="1"/>
  <c r="E25" i="1"/>
  <c r="B25" i="1"/>
  <c r="D25" i="1"/>
  <c r="C28" i="1"/>
  <c r="E22" i="1"/>
  <c r="B28" i="1"/>
  <c r="D19" i="1"/>
  <c r="F28" i="1"/>
  <c r="C19" i="1"/>
  <c r="F16" i="1"/>
  <c r="D28" i="1"/>
  <c r="B19" i="1"/>
  <c r="E19" i="1"/>
  <c r="F25" i="1"/>
  <c r="C22" i="1"/>
  <c r="D22" i="1"/>
  <c r="E28" i="1"/>
  <c r="F22" i="1"/>
  <c r="C25" i="1"/>
  <c r="B22" i="1"/>
  <c r="E29" i="1" l="1"/>
  <c r="B20" i="1"/>
  <c r="C20" i="1"/>
  <c r="B29" i="1"/>
  <c r="C23" i="1"/>
  <c r="D29" i="1"/>
  <c r="F29" i="1"/>
  <c r="E23" i="1"/>
  <c r="F17" i="1"/>
  <c r="D26" i="1"/>
  <c r="C26" i="1"/>
  <c r="F20" i="1"/>
  <c r="F23" i="1"/>
  <c r="D23" i="1"/>
  <c r="B26" i="1"/>
  <c r="F26" i="1"/>
  <c r="C29" i="1"/>
  <c r="E26" i="1"/>
  <c r="E20" i="1"/>
  <c r="D20" i="1"/>
  <c r="B23" i="1"/>
  <c r="Z2" i="2"/>
  <c r="Z3" i="2" l="1"/>
  <c r="AA3" i="2" s="1"/>
  <c r="R4" i="2"/>
  <c r="S3" i="2"/>
  <c r="S2" i="2"/>
  <c r="Z4" i="2" l="1"/>
  <c r="AA4" i="2" s="1"/>
  <c r="AA2" i="2"/>
</calcChain>
</file>

<file path=xl/comments1.xml><?xml version="1.0" encoding="utf-8"?>
<comments xmlns="http://schemas.openxmlformats.org/spreadsheetml/2006/main">
  <authors>
    <author>Gary Henricksen</author>
  </authors>
  <commentList>
    <comment ref="A14" authorId="0" shapeId="0">
      <text>
        <r>
          <rPr>
            <b/>
            <sz val="9"/>
            <color indexed="81"/>
            <rFont val="Tahoma"/>
            <family val="2"/>
          </rPr>
          <t>Gary Henricksen:</t>
        </r>
        <r>
          <rPr>
            <sz val="9"/>
            <color indexed="81"/>
            <rFont val="Tahoma"/>
            <family val="2"/>
          </rPr>
          <t xml:space="preserve">
add price for sending art files to client</t>
        </r>
      </text>
    </comment>
  </commentList>
</comments>
</file>

<file path=xl/sharedStrings.xml><?xml version="1.0" encoding="utf-8"?>
<sst xmlns="http://schemas.openxmlformats.org/spreadsheetml/2006/main" count="1403" uniqueCount="728">
  <si>
    <t>VariableChoice</t>
  </si>
  <si>
    <t>Static Printing</t>
  </si>
  <si>
    <t>Variable Printing</t>
  </si>
  <si>
    <t>Variable Images</t>
  </si>
  <si>
    <t>Front</t>
  </si>
  <si>
    <t>Back</t>
  </si>
  <si>
    <t>K</t>
  </si>
  <si>
    <t>Factor</t>
  </si>
  <si>
    <t>VarLimit</t>
  </si>
  <si>
    <t>Label</t>
  </si>
  <si>
    <t>Regulation postcard/DAL</t>
  </si>
  <si>
    <t>Oversized Postcard</t>
  </si>
  <si>
    <t>Jumbo Postcard</t>
  </si>
  <si>
    <t>Letterhead/Letter</t>
  </si>
  <si>
    <t>Reply Form</t>
  </si>
  <si>
    <t>Reply Card</t>
  </si>
  <si>
    <t>Letter 8.5 x 14 Perfed</t>
  </si>
  <si>
    <t>Flyer/Brochure/Self-mailer</t>
  </si>
  <si>
    <t>Donor Impact Report</t>
  </si>
  <si>
    <t>Newsletter</t>
  </si>
  <si>
    <t>11x17 folded to 8.5x11</t>
  </si>
  <si>
    <t>Multi page 11x17 folded to 8.5x11</t>
  </si>
  <si>
    <t>Other</t>
  </si>
  <si>
    <t>Type</t>
  </si>
  <si>
    <t>PaperSource</t>
  </si>
  <si>
    <t>Printout</t>
  </si>
  <si>
    <t>Client</t>
  </si>
  <si>
    <t>Five Maples stock</t>
  </si>
  <si>
    <t>Five M. special order</t>
  </si>
  <si>
    <t>ClickCharge</t>
  </si>
  <si>
    <t>PriceAdder</t>
  </si>
  <si>
    <t>Number up:</t>
  </si>
  <si>
    <t>Column1</t>
  </si>
  <si>
    <t>Column2</t>
  </si>
  <si>
    <t>PrintOutMarkup</t>
  </si>
  <si>
    <t>Size</t>
  </si>
  <si>
    <t># Across</t>
  </si>
  <si>
    <t>Total Dimension</t>
  </si>
  <si>
    <t>1110+ Black</t>
  </si>
  <si>
    <t>C700 black</t>
  </si>
  <si>
    <t>Black Blend</t>
  </si>
  <si>
    <t>C700 Color</t>
  </si>
  <si>
    <t>StaticLimit</t>
  </si>
  <si>
    <t>Annual clicks</t>
  </si>
  <si>
    <t>Attributed Labor Cost</t>
  </si>
  <si>
    <t>Annual Lease cost</t>
  </si>
  <si>
    <t>Total indirect COGS</t>
  </si>
  <si>
    <t>2000000</t>
  </si>
  <si>
    <t>Choose Stock</t>
  </si>
  <si>
    <t>100# Sterling dull cover 13 x 19</t>
  </si>
  <si>
    <t>Choose Color Mode</t>
  </si>
  <si>
    <t>CMYK 2 sides</t>
  </si>
  <si>
    <t>Enter Quantity</t>
  </si>
  <si>
    <t># up (from row 50, B-E</t>
  </si>
  <si>
    <t>Print Time in hours=</t>
  </si>
  <si>
    <t>Column3</t>
  </si>
  <si>
    <t>Option 1</t>
  </si>
  <si>
    <t>Option 2</t>
  </si>
  <si>
    <t>Option 3</t>
  </si>
  <si>
    <t>Option 4</t>
  </si>
  <si>
    <t>Option 5</t>
  </si>
  <si>
    <t>Choose Paper Source</t>
  </si>
  <si>
    <t>4.25 x 6</t>
  </si>
  <si>
    <t>5 x 7 with bleeds</t>
  </si>
  <si>
    <t>5.5 x 8.5 with bleeds</t>
  </si>
  <si>
    <t>6 x 11 with bleeds</t>
  </si>
  <si>
    <t>80# Accent Opaque smooth cover</t>
  </si>
  <si>
    <t xml:space="preserve">120# Sterling dull cover </t>
  </si>
  <si>
    <t>OR, Enter specification for client supplied or special order paper</t>
  </si>
  <si>
    <t>AND, Enter final size of piece</t>
  </si>
  <si>
    <t>Side 1 Color</t>
  </si>
  <si>
    <t>Side 2 Color</t>
  </si>
  <si>
    <t>Static or Variable Printing</t>
  </si>
  <si>
    <t>Enter Quantity 1</t>
  </si>
  <si>
    <t>Price Each</t>
  </si>
  <si>
    <t>Total Price 1</t>
  </si>
  <si>
    <t>Enter Quantity 2</t>
  </si>
  <si>
    <t>Total Price 2</t>
  </si>
  <si>
    <t>Enter Quantity 3</t>
  </si>
  <si>
    <t>Total Price 3</t>
  </si>
  <si>
    <t>Enter Quantity 4</t>
  </si>
  <si>
    <t>Total Price 4</t>
  </si>
  <si>
    <t>Enter Quantity 5</t>
  </si>
  <si>
    <t>Total Price 5</t>
  </si>
  <si>
    <t>8.5x11 Bulk</t>
  </si>
  <si>
    <t>8.5 x 11</t>
  </si>
  <si>
    <t>8.5x11w/3.5</t>
  </si>
  <si>
    <t>8.5 x 14</t>
  </si>
  <si>
    <t>8.5x14w/3.5</t>
  </si>
  <si>
    <t>11x17 Bulk</t>
  </si>
  <si>
    <t>11x17</t>
  </si>
  <si>
    <t>12x18 Bulk</t>
  </si>
  <si>
    <t>12x18</t>
  </si>
  <si>
    <t>13x19</t>
  </si>
  <si>
    <t>3.5 x 5.5</t>
  </si>
  <si>
    <t>3.5 x 5.5 w/ bleeds</t>
  </si>
  <si>
    <t>3.5 x 6</t>
  </si>
  <si>
    <t>3.5 x 6 with bleeds</t>
  </si>
  <si>
    <t>3.5 x 8</t>
  </si>
  <si>
    <t>3.5 x 8 with bleeds</t>
  </si>
  <si>
    <t>3.5 x 8.5</t>
  </si>
  <si>
    <t>3.5 x 8.5 with bleeds</t>
  </si>
  <si>
    <t>3.67 x 8.5</t>
  </si>
  <si>
    <t>3.67 x 8.5 with bleeds</t>
  </si>
  <si>
    <t>4 x 5.5</t>
  </si>
  <si>
    <t>4 x 5.5 with bleeds</t>
  </si>
  <si>
    <t>4 x 6</t>
  </si>
  <si>
    <t>4 x 6 with bleeds</t>
  </si>
  <si>
    <t>4.25 x 5.5</t>
  </si>
  <si>
    <t>4.25 x 5.5 with bleeds</t>
  </si>
  <si>
    <t>4.25 x 6 with bleeds</t>
  </si>
  <si>
    <t>4.625 x 6.25</t>
  </si>
  <si>
    <t>4.625 x 6.25 with bleeds</t>
  </si>
  <si>
    <t>4 x 8</t>
  </si>
  <si>
    <t>4 x 8 with bleeds</t>
  </si>
  <si>
    <t>4 x 9</t>
  </si>
  <si>
    <t>4 x 9 with bleeds</t>
  </si>
  <si>
    <t>5 x 7</t>
  </si>
  <si>
    <t>5.5 x 7.5</t>
  </si>
  <si>
    <t>5.5 x 7.5 with bleeds</t>
  </si>
  <si>
    <t>5.5 x 8.5</t>
  </si>
  <si>
    <t>5.75 x 11</t>
  </si>
  <si>
    <t>5.75 x 11 with bleeds</t>
  </si>
  <si>
    <t>5.75 x 18</t>
  </si>
  <si>
    <t>5.75 x 18 with bleeds</t>
  </si>
  <si>
    <t>6 x 10</t>
  </si>
  <si>
    <t>6 x 10 with bleeds</t>
  </si>
  <si>
    <t>6 x 10.5</t>
  </si>
  <si>
    <t>6 x 10.5 with bleeds</t>
  </si>
  <si>
    <t>6 x 11</t>
  </si>
  <si>
    <t>6 x 18</t>
  </si>
  <si>
    <t>6 x 18 with bleeds</t>
  </si>
  <si>
    <t>6 x 8</t>
  </si>
  <si>
    <t>6 x 8 with bleeds</t>
  </si>
  <si>
    <t>6 x 8.5</t>
  </si>
  <si>
    <t>6 x 8.5 with bleeds</t>
  </si>
  <si>
    <t>6 x 9</t>
  </si>
  <si>
    <t>6 x 9 with bleeds</t>
  </si>
  <si>
    <t>6.25 x 10</t>
  </si>
  <si>
    <t>6.25 x 9.25 with bleeds</t>
  </si>
  <si>
    <t>6.625 x 10</t>
  </si>
  <si>
    <t>6.625 x 9.25 with bleeds</t>
  </si>
  <si>
    <t>7 x 8.5</t>
  </si>
  <si>
    <t>7 x 8.5 with bleeds</t>
  </si>
  <si>
    <t>7.5 x 8.5</t>
  </si>
  <si>
    <t>7.5 x 8.5 with bleeds</t>
  </si>
  <si>
    <t>7.75 x 8.5</t>
  </si>
  <si>
    <t>7.75 x 8.5 with bleeds</t>
  </si>
  <si>
    <t>8 x 10</t>
  </si>
  <si>
    <t>8 x 10 with bleeds</t>
  </si>
  <si>
    <t>8.5 x 11 with 3.5" perf</t>
  </si>
  <si>
    <t>8.5 x 11 12 page booklet</t>
  </si>
  <si>
    <t>8.5 x 11 12 page booklet with bleeds</t>
  </si>
  <si>
    <t>8.5 x 11 8 page booklet</t>
  </si>
  <si>
    <t>8.5 x 11 8 page booklet with bleeds</t>
  </si>
  <si>
    <t>8.5 x 11 with bleeds</t>
  </si>
  <si>
    <t>8.5 x 14 with bleeds</t>
  </si>
  <si>
    <t>8.5 x 14 with 3.5" perf</t>
  </si>
  <si>
    <t>11 x 17</t>
  </si>
  <si>
    <t>11 x 17 with bleeds</t>
  </si>
  <si>
    <t>Label 1 x 4 (8.5x11)</t>
  </si>
  <si>
    <t>Label 2 x 4 (8.5x11)</t>
  </si>
  <si>
    <t>Label 3.33 x 4 (8.5x11)</t>
  </si>
  <si>
    <t>Label 4 x 5 (8.5x11)</t>
  </si>
  <si>
    <t>FinalSize</t>
  </si>
  <si>
    <t>Stocked as</t>
  </si>
  <si>
    <t>PaperName</t>
  </si>
  <si>
    <t xml:space="preserve">11 x 17 </t>
  </si>
  <si>
    <t>8.5x11</t>
  </si>
  <si>
    <t>8.5x14</t>
  </si>
  <si>
    <t>70# Finch Digital Opaque white</t>
  </si>
  <si>
    <t>70# Cougar Opaque white text</t>
  </si>
  <si>
    <t>12 x 18</t>
  </si>
  <si>
    <t>13 x 19</t>
  </si>
  <si>
    <t>Cost</t>
  </si>
  <si>
    <t>make possible to change printout markup factor on individual quotes</t>
  </si>
  <si>
    <t>add program summary table</t>
  </si>
  <si>
    <t>do a screen cast</t>
  </si>
  <si>
    <t>does the desription in T2 change when switching to RTC?</t>
  </si>
  <si>
    <t>metering (theres a question on the pricing)</t>
  </si>
  <si>
    <t>different quantities for mailings all envelopes printed at once; use Client Stock for now, but come up with solution later</t>
  </si>
  <si>
    <t>what about folding of remit envelopes? It's already included in the price of the envelope</t>
  </si>
  <si>
    <t>cut, score, perf, fold out pricing…for budget estimating, can I come up with a price table?</t>
  </si>
  <si>
    <t>fix the price curve charts for Printing2, after fixing margin on expensive paper?</t>
  </si>
  <si>
    <t>adjust margin on expensive paper</t>
  </si>
  <si>
    <t>move instructions to the wiki</t>
  </si>
  <si>
    <t>failure to fill in all choices on printing may still return a price; but will make Format Table break; the price will probably be right, but it will force fixing it</t>
  </si>
  <si>
    <t>add macro for transfering charts to word</t>
  </si>
  <si>
    <t>add setup foreign for when foreign is selected</t>
  </si>
  <si>
    <t>8.5x14 multiple mailings, design not needed, what is the letter design cost only part of this</t>
  </si>
  <si>
    <t>add BMC charges</t>
  </si>
  <si>
    <t>Special order envelopes: you have to still choose an envelope specification to get a price</t>
  </si>
  <si>
    <t>high cost papers are still over priced in Printing2, e.g., 1000 Classic Crest is about double what it should be</t>
  </si>
  <si>
    <t>in final chart put printing above lettershop</t>
  </si>
  <si>
    <t>Format 8a has design letter 2 sides but only print 1 side</t>
  </si>
  <si>
    <t>11 x 17 newsletter, 8 and 12 page options?, or with print out added in (entry box?)</t>
  </si>
  <si>
    <t>11 x 17 newsletter tabbed and mailed, no envelope</t>
  </si>
  <si>
    <t>11 x 17 newsletter tabbed and mailed, no envelope; 6-3/4 remit</t>
  </si>
  <si>
    <t>non variable folded holiday card</t>
  </si>
  <si>
    <t>variable folded holiday card</t>
  </si>
  <si>
    <t>multipage letter pricing</t>
  </si>
  <si>
    <t>need a "Card" printing type?</t>
  </si>
  <si>
    <t>Change Log</t>
  </si>
  <si>
    <t>Date</t>
  </si>
  <si>
    <t>Details</t>
  </si>
  <si>
    <t>Pricing Last Updated:</t>
  </si>
  <si>
    <t>Paper Last Updated:</t>
  </si>
  <si>
    <t>Revision Suggestions</t>
  </si>
  <si>
    <r>
      <t xml:space="preserve">AND, Enter </t>
    </r>
    <r>
      <rPr>
        <b/>
        <i/>
        <sz val="10"/>
        <rFont val="Arial"/>
        <family val="2"/>
      </rPr>
      <t>number up</t>
    </r>
    <r>
      <rPr>
        <b/>
        <sz val="10"/>
        <rFont val="Arial"/>
        <family val="2"/>
      </rPr>
      <t xml:space="preserve"> for client supplied or special order paper</t>
    </r>
  </si>
  <si>
    <t>Quote Number</t>
  </si>
  <si>
    <t>Job Number</t>
  </si>
  <si>
    <t>Choose Envelope Stock Source</t>
  </si>
  <si>
    <t>Envelope Specification</t>
  </si>
  <si>
    <t>Side 1 Color Specification and Coverage</t>
  </si>
  <si>
    <t>Side 2 Color Specification and Coverage</t>
  </si>
  <si>
    <t>Impression Cost</t>
  </si>
  <si>
    <t>EnvType</t>
  </si>
  <si>
    <t>Run Rate per side</t>
  </si>
  <si>
    <t>% of time</t>
  </si>
  <si>
    <t>flap folding rate</t>
  </si>
  <si>
    <t>#6-3/4 regular, 24# ww</t>
  </si>
  <si>
    <t>#6-3/4 remit, 24# ww</t>
  </si>
  <si>
    <t>#6 booklet, 24# ww (5-3/4x8-7/8)</t>
  </si>
  <si>
    <t>Bar #4, 24#ww</t>
  </si>
  <si>
    <t>A-2 insertable flap, 24#ww</t>
  </si>
  <si>
    <t>A-2 standard flap, 70# HiTech</t>
  </si>
  <si>
    <t>A-6 standard flap, 70# HiTech</t>
  </si>
  <si>
    <t>A-6 insertable flap, 24#ww</t>
  </si>
  <si>
    <t>A-7 standard flap, 70# HiTech</t>
  </si>
  <si>
    <t>A-7 insertable flap, 24# ww</t>
  </si>
  <si>
    <t xml:space="preserve">A-7 Classic Crest Natural White 70# </t>
  </si>
  <si>
    <t>A-9 standard flap, 70# HiTech</t>
  </si>
  <si>
    <t>#9 regular, 24# ww</t>
  </si>
  <si>
    <t>#9 Classic Crest Natural White 70#</t>
  </si>
  <si>
    <t>#9 remit, 24# ww</t>
  </si>
  <si>
    <t>#10 Bright White Finch Opaque 60#</t>
  </si>
  <si>
    <t>#10 Classic Crest Natural White 70#</t>
  </si>
  <si>
    <t>#10 Classic Crest Avon Brilliant White 24#</t>
  </si>
  <si>
    <t>#10 regular, 24# ww</t>
  </si>
  <si>
    <t>#10 window, 24# ww</t>
  </si>
  <si>
    <t>#11 regular, 24# ww</t>
  </si>
  <si>
    <t>6 x 9 regular, 24# ww</t>
  </si>
  <si>
    <t>6 x 9.5 regular, 24# ww</t>
  </si>
  <si>
    <t>6.5 x 9.5 regular, 24#ww</t>
  </si>
  <si>
    <t>9 x 12 booklet, 24# ww</t>
  </si>
  <si>
    <t>10 x 13 booklet, 24# ww</t>
  </si>
  <si>
    <t>9 x 12 booklet, 24# BriteHue Red</t>
  </si>
  <si>
    <t>EnvVar</t>
  </si>
  <si>
    <t>Price Adder</t>
  </si>
  <si>
    <t>Variable Color Images</t>
  </si>
  <si>
    <t>Markup</t>
  </si>
  <si>
    <t>Five Maples Stock</t>
  </si>
  <si>
    <t>Five M. Special Order</t>
  </si>
  <si>
    <t>EnvSource</t>
  </si>
  <si>
    <t>Color</t>
  </si>
  <si>
    <t>Five maples stock</t>
  </si>
  <si>
    <t>consider printing a shell; overall cost may be lower</t>
  </si>
  <si>
    <t>Explanation</t>
  </si>
  <si>
    <t>price may be uncompetitive; get a print out quote to compare</t>
  </si>
  <si>
    <t>markup is less than 1.5; either get a printout quote, consider printing a shell, or discuss with Gary</t>
  </si>
  <si>
    <t>Printing and PrintingEnv tested and working properly-no conditional formatting set yet</t>
  </si>
  <si>
    <t>low markup; get a print out quote to compare</t>
  </si>
  <si>
    <t>More than 8 hrs to print, consider print out</t>
  </si>
  <si>
    <t>conditional formatting for PrintingEnvs-working for 8+hrs</t>
  </si>
  <si>
    <t>conditional formatting for Printing works</t>
  </si>
  <si>
    <t>conditonal formatting for all of PrintingEnvs working</t>
  </si>
  <si>
    <t>Last Update:</t>
  </si>
  <si>
    <t>Discovered that pricing will throw an error if Prices 2.0 is open</t>
  </si>
  <si>
    <t>AND, Enter Total Paper Cost if special order or print out</t>
  </si>
  <si>
    <t>Enter Total Price for Special Order or Printout</t>
  </si>
  <si>
    <t>Choose final size (if from FM stock)</t>
  </si>
  <si>
    <t>Choose paper stock (if from FM stock)</t>
  </si>
  <si>
    <t>fivemaples</t>
  </si>
  <si>
    <t>Printing and PrintingEnv tested and working properly-ready to release beta version</t>
  </si>
  <si>
    <t>Jump To:</t>
  </si>
  <si>
    <t>1. TOP</t>
  </si>
  <si>
    <t>Mail Shop Service Code</t>
  </si>
  <si>
    <t>Description</t>
  </si>
  <si>
    <t>Charge</t>
  </si>
  <si>
    <t>2. DATA PROCESSING</t>
  </si>
  <si>
    <t>MINCHRG</t>
  </si>
  <si>
    <t>Single mailing</t>
  </si>
  <si>
    <t>3. DATA PROCESSING WITH PER PIECE RATES</t>
  </si>
  <si>
    <t>Multiple jobs run at same time</t>
  </si>
  <si>
    <t>$150/ea.</t>
  </si>
  <si>
    <t>4. LETTERSHOP</t>
  </si>
  <si>
    <t>RUSH</t>
  </si>
  <si>
    <t>Same Day</t>
  </si>
  <si>
    <t>5. LETTERSHOP: ADDRESSING</t>
  </si>
  <si>
    <t>24 hour</t>
  </si>
  <si>
    <t>6. LETTERSHOP: BUSKRO INKJETTING</t>
  </si>
  <si>
    <t>48 hour</t>
  </si>
  <si>
    <t>7. LETTERSHOP: INSERTING AND FOLDING</t>
  </si>
  <si>
    <t>8. LETTERSHOP:  CUTTING</t>
  </si>
  <si>
    <t>DATA PROCESSING</t>
  </si>
  <si>
    <t>9. LETTERSHOP:  TABBING</t>
  </si>
  <si>
    <t>10. FOREIGN</t>
  </si>
  <si>
    <t>DPTIME</t>
  </si>
  <si>
    <t>Per Hour for Additional Work</t>
  </si>
  <si>
    <t>11. FULFILLMENT/HANDWORK</t>
  </si>
  <si>
    <t>LCP</t>
  </si>
  <si>
    <t>Load, CASS and Presort &lt;10,000</t>
  </si>
  <si>
    <t>12. WAREHOUSE</t>
  </si>
  <si>
    <t>FILE</t>
  </si>
  <si>
    <t>Load File</t>
  </si>
  <si>
    <t>Load File for Mail Merge</t>
  </si>
  <si>
    <t>Load Each Additional File or Tab</t>
  </si>
  <si>
    <t>Include Second Name Fields</t>
  </si>
  <si>
    <t>RETURNCL</t>
  </si>
  <si>
    <t>Return Mail File to Client for Review</t>
  </si>
  <si>
    <t>Reload File</t>
  </si>
  <si>
    <t>REPORTS</t>
  </si>
  <si>
    <t>Generate Distribution Report and Return to Client</t>
  </si>
  <si>
    <t>MASTER</t>
  </si>
  <si>
    <t>Setup Master Suppression File</t>
  </si>
  <si>
    <t>Update Master Suppression File</t>
  </si>
  <si>
    <t xml:space="preserve">Additional Postal Paperwork </t>
  </si>
  <si>
    <t>CODE</t>
  </si>
  <si>
    <t>Include Code/Constant</t>
  </si>
  <si>
    <t>EXPORT</t>
  </si>
  <si>
    <t>Export New Typeface to Inkjet</t>
  </si>
  <si>
    <t>no charge</t>
  </si>
  <si>
    <t>Export Graphic for Inkjetting</t>
  </si>
  <si>
    <t>Export Signature for Inkjetting</t>
  </si>
  <si>
    <t>SORT</t>
  </si>
  <si>
    <t>Sort for Single Piece Rate</t>
  </si>
  <si>
    <t>NCOA-RET</t>
  </si>
  <si>
    <t>NCOA Setup and Return to Client</t>
  </si>
  <si>
    <t>SETUP</t>
  </si>
  <si>
    <t>Setup Mail Merge--Monthly or Quarterly, Same Letter</t>
  </si>
  <si>
    <t>Setup Mail Merge--Weekly or Biweekly, Same Letter</t>
  </si>
  <si>
    <t>Setup Mail Merge--1st Version</t>
  </si>
  <si>
    <t>Setup Mail Merge--8.5 x 14 with tear off</t>
  </si>
  <si>
    <t>Setup Mail Merge--Each Additional Version</t>
  </si>
  <si>
    <t>PROOF</t>
  </si>
  <si>
    <t>Physical Proof to Client</t>
  </si>
  <si>
    <t>SELECT</t>
  </si>
  <si>
    <t>Select Records: (Including Cut List)</t>
  </si>
  <si>
    <t>SCAN</t>
  </si>
  <si>
    <t>Scan and Clean Signature/Graphic</t>
  </si>
  <si>
    <t>Setup Variable Message for Inkjetting</t>
  </si>
  <si>
    <t>Setup Database Management</t>
  </si>
  <si>
    <t>Quoted per project</t>
  </si>
  <si>
    <t>Setup Data Entry</t>
  </si>
  <si>
    <t>DATAENTRY</t>
  </si>
  <si>
    <t>Data Entry per Record (Add, Edit, Delete):  $0.50-$1.00/ea.</t>
  </si>
  <si>
    <t>quoted per job</t>
  </si>
  <si>
    <t>EDIT</t>
  </si>
  <si>
    <t>Add/Delete 1-5 Names--Before Presort</t>
  </si>
  <si>
    <t>Add/Delete 5+ Names--Before Presort</t>
  </si>
  <si>
    <t>$1/ea.</t>
  </si>
  <si>
    <t>Add 1 Name--After Presort but Before Printing/Addressing</t>
  </si>
  <si>
    <t>Each Additional Name Added--After Presort but Before Printing/Addressing</t>
  </si>
  <si>
    <t>$2/ea.</t>
  </si>
  <si>
    <t>Remove 1 Name--After Presort but Before Mailing is Trayed</t>
  </si>
  <si>
    <t>Each Additional Name Removed--After Presort but Before Printing/Addressing</t>
  </si>
  <si>
    <t>Remove Names--After Mailing is Trayed</t>
  </si>
  <si>
    <t>$85/hr.</t>
  </si>
  <si>
    <t>LIST</t>
  </si>
  <si>
    <t>List Rental: Mailer's Haven</t>
  </si>
  <si>
    <t>cost times 2</t>
  </si>
  <si>
    <t>List Rental: Third Party Lists</t>
  </si>
  <si>
    <t>cost times 1.6</t>
  </si>
  <si>
    <t>List Rental: BelardiWong</t>
  </si>
  <si>
    <t>cost times 1.45</t>
  </si>
  <si>
    <t>DATA PROCESSING WITH PER PIECE RATES</t>
  </si>
  <si>
    <t>Cut Over</t>
  </si>
  <si>
    <t>≥ 1</t>
  </si>
  <si>
    <t>≥ 10000</t>
  </si>
  <si>
    <t>≥ 20000</t>
  </si>
  <si>
    <t>≥ 25000</t>
  </si>
  <si>
    <t>≥ 30000</t>
  </si>
  <si>
    <t>≥ 50000</t>
  </si>
  <si>
    <t>≥ 75000</t>
  </si>
  <si>
    <t>≥ 100000</t>
  </si>
  <si>
    <t>≥ 150000</t>
  </si>
  <si>
    <t>Discount</t>
  </si>
  <si>
    <t>CASS</t>
  </si>
  <si>
    <t>CASS Certify/DPV</t>
  </si>
  <si>
    <t>Level A</t>
  </si>
  <si>
    <t>CASS Certify/DPV &amp; Presort</t>
  </si>
  <si>
    <t>NCOA</t>
  </si>
  <si>
    <t>NCOA per Piece</t>
  </si>
  <si>
    <t>PRESORT</t>
  </si>
  <si>
    <t>Postal Presort with Track &amp; Trace®</t>
  </si>
  <si>
    <t>DEDUPE</t>
  </si>
  <si>
    <t>Dedupe</t>
  </si>
  <si>
    <t>Level B</t>
  </si>
  <si>
    <t>REVIEWSAL</t>
  </si>
  <si>
    <t>Review Salutations</t>
  </si>
  <si>
    <t xml:space="preserve">SALUTATION </t>
  </si>
  <si>
    <t>Create Salutation</t>
  </si>
  <si>
    <t>ASKGENERIC</t>
  </si>
  <si>
    <t>Code Ask Strings--One Generic Set</t>
  </si>
  <si>
    <t>ASKSTANDARD</t>
  </si>
  <si>
    <t>Code Ask Strings--from Five Maples Standard Table</t>
  </si>
  <si>
    <t>ASKTABLE</t>
  </si>
  <si>
    <t>Code Ask Strings--from Custom Table</t>
  </si>
  <si>
    <t>ASKCHECK</t>
  </si>
  <si>
    <t>Code Annual Giving Checkmarks</t>
  </si>
  <si>
    <t>WALKSEQ</t>
  </si>
  <si>
    <t>BCC Services--Add Walk Sequence Numbers (DSF2 processing)</t>
  </si>
  <si>
    <t>BCC Services--Deceased Screening</t>
  </si>
  <si>
    <t>BCC Services--DMA Do-Not-Mail Suppression</t>
  </si>
  <si>
    <t>BCC Services--Combined Deceased and DMA Do-Not-Mail</t>
  </si>
  <si>
    <t>BCC Services--Address Resolution Processing</t>
  </si>
  <si>
    <t>LETTERSHOP</t>
  </si>
  <si>
    <t>PDF Proof to Client</t>
  </si>
  <si>
    <t>Additional PDF Proof to Client--Client Changes</t>
  </si>
  <si>
    <t>Job interruption - Short Pieces, Wait for Add'l Inventory</t>
  </si>
  <si>
    <t>Short Pieces, Cut Mailing, Resort</t>
  </si>
  <si>
    <t>LETTERSHOP: ADDRESSING</t>
  </si>
  <si>
    <t>Setup</t>
  </si>
  <si>
    <t>≥ 5,000</t>
  </si>
  <si>
    <t>≥ 10,000</t>
  </si>
  <si>
    <t>≥ 15,000</t>
  </si>
  <si>
    <t>≥ 20,000</t>
  </si>
  <si>
    <t>≥ 25,000</t>
  </si>
  <si>
    <t>≥ 35,000</t>
  </si>
  <si>
    <t>≥ 50,000</t>
  </si>
  <si>
    <t>≥ 75,000</t>
  </si>
  <si>
    <t>≥ 100,000</t>
  </si>
  <si>
    <t>≥ 150,000</t>
  </si>
  <si>
    <t>SETADDRESS/ADDENVELOPE</t>
  </si>
  <si>
    <t>Laser Quality Address</t>
  </si>
  <si>
    <t>Level C</t>
  </si>
  <si>
    <t>Address with Handwriting Font--Black</t>
  </si>
  <si>
    <t>Address with Handwriting Font--Blue</t>
  </si>
  <si>
    <t>Regular Address-200 DPI--#10, 6 x 9</t>
  </si>
  <si>
    <t>Regular Address-200 DPI--9 x12, 10 x 13 Envelope</t>
  </si>
  <si>
    <t>SETADDRESS/ADDRESPONSE</t>
  </si>
  <si>
    <t>Address Response Form or Buckslip</t>
  </si>
  <si>
    <t>SETADDRESS/ADDPC</t>
  </si>
  <si>
    <t>Postcard--up to 4.25 x 6</t>
  </si>
  <si>
    <t>Level D</t>
  </si>
  <si>
    <t>SETADDRESS/ADDOSPC</t>
  </si>
  <si>
    <t>Oversized Postcard--larger than 4.25 x 6</t>
  </si>
  <si>
    <t>SETADDRESS/ADDFSM</t>
  </si>
  <si>
    <t>FSM or QFSM ≤1 oz. --2 Top--1" Tabs</t>
  </si>
  <si>
    <t>FSM &gt;1 oz.--2 Top--1.5" Tabs</t>
  </si>
  <si>
    <t>QFSM &gt;1 oz. --2 Top, 1 Trailing--1.5" Tabs</t>
  </si>
  <si>
    <t>FSM ≤1 oz.--1 Top, 1 Leading--1" Tabs</t>
  </si>
  <si>
    <t>FSM &gt;1 oz.--1 Top, 1 Leading--1.5" Tabs</t>
  </si>
  <si>
    <t>FSM Newsprint ≤1 oz. --2 Top--1.5" Tabs</t>
  </si>
  <si>
    <t>FSM Newsprint &gt;1 oz. --2 Leading, 1 Top--1.5" Tabs</t>
  </si>
  <si>
    <t>FSM ≤1 oz., final panel=address--2 Top, 1 Leading--1" Tabs</t>
  </si>
  <si>
    <t>FSM &gt;1 oz., final panel=address--2 Top, 1 Leading--1.5" Tabs</t>
  </si>
  <si>
    <t>Oblong FSM  ≤1 oz. --1 Top, 1 Trailing--1" Tabs</t>
  </si>
  <si>
    <t>Oblong FSM,  ≤1 oz.--2 Trailing--1" Tabs</t>
  </si>
  <si>
    <t>Oblong FSM &gt;1 oz.--1 Top, 1 Trailing--1.5" Tabs</t>
  </si>
  <si>
    <t>SETADDRESS/ADDBKLT</t>
  </si>
  <si>
    <t>Booklets--2 Leading, 1 Trailing--1.5" Tabs</t>
  </si>
  <si>
    <t>Booklets (spine leading edge)--2 Top, 1 Trailing--1.5" Tabs</t>
  </si>
  <si>
    <t>Wallet Booklets or FSM--1 Leading, 1 Trailing</t>
  </si>
  <si>
    <t>SETADDRESS/ADDFLAT</t>
  </si>
  <si>
    <t>Flat size: Up to 3 oz.</t>
  </si>
  <si>
    <t>Flat Size: 3 - 4 oz.</t>
  </si>
  <si>
    <t>Flat Size: 4 - 6 oz.</t>
  </si>
  <si>
    <t>Flat Size: 6 - 8 oz.</t>
  </si>
  <si>
    <t>Flat Size: 8 - 10 oz.</t>
  </si>
  <si>
    <t>LETTERSHOP: BUSKRO INKJETTING</t>
  </si>
  <si>
    <t>ENDORSE</t>
  </si>
  <si>
    <t>Inkjet Endorsement</t>
  </si>
  <si>
    <t>Inkjet FIM/Barcode</t>
  </si>
  <si>
    <t>SETSTAMP/STAMP</t>
  </si>
  <si>
    <t>Affix Stamp</t>
  </si>
  <si>
    <t>SETMESSAGE/MESSAGE</t>
  </si>
  <si>
    <t>Inkjet Signature w/PDF Proof--Black</t>
  </si>
  <si>
    <t>Inkjet Signature w/PDF Proof--1 Head--Blue</t>
  </si>
  <si>
    <t>Inkjet Message w/PDF Proof--Black</t>
  </si>
  <si>
    <t>Inkjet Message w/PDF Proof--1 Head--Color</t>
  </si>
  <si>
    <t>Inkjet Message w/PDF Proof--2 Heads--Color</t>
  </si>
  <si>
    <t>Inkjet Variable Message w/PDF Proof--Black</t>
  </si>
  <si>
    <t>Inkjet Variable Message w/PDF Proof--2 Heads--Color</t>
  </si>
  <si>
    <t>Inkjet Variable Message w/PDF Proof--4 Heads--Color</t>
  </si>
  <si>
    <t>SETPERMIT/PERMIT</t>
  </si>
  <si>
    <t>Inkjet Permit</t>
  </si>
  <si>
    <t>SETRETURN/RETURN</t>
  </si>
  <si>
    <t>Inkjet Return Address</t>
  </si>
  <si>
    <t>LETTERSHOP: INSERTING AND FOLDING</t>
  </si>
  <si>
    <t>SETINSERT/INSERT</t>
  </si>
  <si>
    <t>NO MATCH: 1 - 2 Inserts into #10 or #11</t>
  </si>
  <si>
    <t>Level E</t>
  </si>
  <si>
    <t>NO MATCH: 3 - 4 Inserts into #10 or #11</t>
  </si>
  <si>
    <t>NO MATCH: 5 - 6 Inserts into #10 or #11</t>
  </si>
  <si>
    <t>NO MATCH: 1 - 2 Inserts into 6 x 9(9.5) or Machinable A-7</t>
  </si>
  <si>
    <t>NO MATCH: 3 - 4 Inserts into 6 x 9(9.5) or Machinable A-7</t>
  </si>
  <si>
    <t>NO MATCH: 5 - 6 Inserts into 6 x 9(9.5) or Machinable A-7</t>
  </si>
  <si>
    <t>NO MATCH: 1 - 2 Inserts into 9 x 12</t>
  </si>
  <si>
    <t>NO MATCH: 3 - 4 Inserts into 9 x 12</t>
  </si>
  <si>
    <t>NO MATCH: 5 - 6 Inserts  into 9 x 12</t>
  </si>
  <si>
    <t>SETMATCH/MATCH</t>
  </si>
  <si>
    <t>2 WAY MATCH: 1 - 2 Inserts into #10</t>
  </si>
  <si>
    <t>Level F</t>
  </si>
  <si>
    <t>2 WAY MATCH: 3 - 4 Inserts into #10</t>
  </si>
  <si>
    <t>2 WAY MATCH: 5 - 6 Inserts into #10</t>
  </si>
  <si>
    <t>2 WAY MATCH: 1 - 2 Inserts into 6 x 9(9.5) or Machinable A-7</t>
  </si>
  <si>
    <t>2 WAY MATCH: 3 - 4 Inserts into 6 x 9(9.5) or Machinable A-7</t>
  </si>
  <si>
    <t>2 WAY MATCH: 5 - 6 Inserts into 6 x 9(9.5) or Machinable A-7</t>
  </si>
  <si>
    <t>3 WAY MATCH: 1 - 2 Inserts into #10</t>
  </si>
  <si>
    <t>3 WAY MATCH: 3 - 4 Inserts into #10</t>
  </si>
  <si>
    <t>3 WAY MATCH: 5 - 6 Inserts into #10</t>
  </si>
  <si>
    <t>3 WAY MATCH: 1 - 2 Inserts into 6 x 9(9.5) or Machinable A-7</t>
  </si>
  <si>
    <t>3 WAY MATCH: 3 - 4 Inserts into 6 x 9(9.5) or Machinable A-7</t>
  </si>
  <si>
    <t>3 WAY MATCH: 5 - 6 Inserts into 6 x 9(9.5) or Machinable A-7</t>
  </si>
  <si>
    <t>SETFOLD/FOLD</t>
  </si>
  <si>
    <t>BI-, Tri-, Ltr Out, Z-, Dbl Parallel, or Barrel</t>
  </si>
  <si>
    <t>Quarter Fold 11 x 17 to 5.5 x 8.5</t>
  </si>
  <si>
    <t>Bi-Fold Plus Tri-Fold--11 x 17 to fit #10</t>
  </si>
  <si>
    <t>BI-, Tri-, Ltr Out, Z-, Dbl Parallel, or Barrel - Sort Order</t>
  </si>
  <si>
    <t>Fold Flap on Reply Envelope</t>
  </si>
  <si>
    <t>Fold Reply Envelope in Half for Nesting or Inserting</t>
  </si>
  <si>
    <t>LETTERSHOP:  CUTTING</t>
  </si>
  <si>
    <t>Set up Cut if we are not printing</t>
  </si>
  <si>
    <t>1 Cut/m if we are not printing</t>
  </si>
  <si>
    <t>2 Cuts/m if we are not printing</t>
  </si>
  <si>
    <t>LETTERSHOP:  TABBING</t>
  </si>
  <si>
    <t>Set Up</t>
  </si>
  <si>
    <t>SETTABONLY/TABONLY</t>
  </si>
  <si>
    <t>1 Pass: 1 Tab</t>
  </si>
  <si>
    <t>Level G</t>
  </si>
  <si>
    <t>1 Pass: 2 Tabs on the Same Side</t>
  </si>
  <si>
    <t>2 Passes: 1 Tab on Each Side</t>
  </si>
  <si>
    <t>2 Passes: 2 Tabs on One Side, 1 Tab on Second Side</t>
  </si>
  <si>
    <t>3 Passes: 1 Tab on Each Side</t>
  </si>
  <si>
    <t>3 Passes: 2 Tabs on One Side, 1 Tab on the 2nd and 3rd Sides</t>
  </si>
  <si>
    <t>FOREIGN</t>
  </si>
  <si>
    <t>PROCESS</t>
  </si>
  <si>
    <t>&lt;5 Pieces:  Process Foreign--minimum</t>
  </si>
  <si>
    <t>5-24 Pieces: Process Foreign, Price Each</t>
  </si>
  <si>
    <t>SETFOR</t>
  </si>
  <si>
    <t>25+ Pieces: Set up Foreign (25+ Pieces)</t>
  </si>
  <si>
    <t>ADD</t>
  </si>
  <si>
    <t>25+ Pieces: Supply Envelope/m  #10</t>
  </si>
  <si>
    <t>25+ Pieces: Supply Envelope/m  6x9</t>
  </si>
  <si>
    <t>25+ Pieces: Supply Envelope/m 9x12</t>
  </si>
  <si>
    <t>25+ Pieces: Supply Envelope/m 10x13</t>
  </si>
  <si>
    <t>25+ Pieces: Process Foreign/m (Hand Insert, Label, and Seal)</t>
  </si>
  <si>
    <t>STAMPFOREIGN</t>
  </si>
  <si>
    <t>Apply USPS First Class Foreign Stamp ≤ 1 oz.</t>
  </si>
  <si>
    <t>Apply USPS First Class Foreign Stamps &gt; 1 oz.</t>
  </si>
  <si>
    <t>METERFOREIGN</t>
  </si>
  <si>
    <t>Meter USPS First Class Foreign Postage</t>
  </si>
  <si>
    <t>FULFILLMENT/HANDWORK</t>
  </si>
  <si>
    <t>SETHAND</t>
  </si>
  <si>
    <t>Set Up Hand Work</t>
  </si>
  <si>
    <t>COLLATE</t>
  </si>
  <si>
    <t>Hand Collate--2 pcs/m</t>
  </si>
  <si>
    <t>Hand Collate--Each Additional pc/m</t>
  </si>
  <si>
    <t>NEST</t>
  </si>
  <si>
    <t>Hand Nest--1 pc/m</t>
  </si>
  <si>
    <t>Hand Nest--Each Additional pc/m</t>
  </si>
  <si>
    <t>Hand Nest--6-3/4 Envelope into 1st Fold of Quarter Folded SM</t>
  </si>
  <si>
    <t>INSERTHAND</t>
  </si>
  <si>
    <t>Hand Insert and Machine Seal--Letter Size--1 pc/m</t>
  </si>
  <si>
    <t>Hand Insert and Machine Seal--Letter Size--Each Additional pc/m</t>
  </si>
  <si>
    <t>Hand Insert and Machine Seal--Flat Size--1 piece/m</t>
  </si>
  <si>
    <t>Hand Insert and Machine Seal--Flat Size--Each Additional pc/m</t>
  </si>
  <si>
    <t>Hand Insert and Machine Seal Surcharge--Catalog Envelope/m</t>
  </si>
  <si>
    <t>Hand Insert and Seal Tyvec or Bubble Mailer--Letter Size/m</t>
  </si>
  <si>
    <t>Hand Insert and Seal Tyvec or Bubble Mailer--Flat Size/m</t>
  </si>
  <si>
    <t>MATCHHAND</t>
  </si>
  <si>
    <t>Match--Envelope and 1 pc/m</t>
  </si>
  <si>
    <t>Match--Each Additional pc/m</t>
  </si>
  <si>
    <t>LABEL</t>
  </si>
  <si>
    <t>Label--Letter Sized Envelope/m</t>
  </si>
  <si>
    <t>Label--Large Envelope</t>
  </si>
  <si>
    <t>STAMP</t>
  </si>
  <si>
    <t>1 Stamp/m</t>
  </si>
  <si>
    <t>Stamp--Letter Size/m</t>
  </si>
  <si>
    <t>Stamp--Flat Size/m</t>
  </si>
  <si>
    <t>Stamp--Phone Book FLAT/m</t>
  </si>
  <si>
    <t>Stamp--Phone Book Parcel/m</t>
  </si>
  <si>
    <t>Presort--Letter Size/m</t>
  </si>
  <si>
    <t>Presort--Flat Size/m</t>
  </si>
  <si>
    <t>SEAL</t>
  </si>
  <si>
    <t>Hand Seal--Letter Size/m</t>
  </si>
  <si>
    <t>Hand Seal--Flat Size/m</t>
  </si>
  <si>
    <t>HAND</t>
  </si>
  <si>
    <t>Hand Tray and Tag Mailing Addressed in DP: Letter Size/m</t>
  </si>
  <si>
    <t>Hand Tray and Tag Mailing Addressed in DP: Flat Size/m</t>
  </si>
  <si>
    <t>GLUE</t>
  </si>
  <si>
    <t>Setup Glue Dot</t>
  </si>
  <si>
    <t>1 Glue Dot/m</t>
  </si>
  <si>
    <t>Double Glue Dot/m</t>
  </si>
  <si>
    <t>METER</t>
  </si>
  <si>
    <t>Setup Sealing/Metering</t>
  </si>
  <si>
    <t>Seal &amp; Meter--Letter Size/m</t>
  </si>
  <si>
    <t>Seal &amp; Meter--Flat Size/m</t>
  </si>
  <si>
    <t>METERTAPE</t>
  </si>
  <si>
    <t>Setup Meter Tape</t>
  </si>
  <si>
    <t>Meter Tape--Letter Size/m</t>
  </si>
  <si>
    <t>Meter Tape--Flat Size/m</t>
  </si>
  <si>
    <t>POLYWRAP</t>
  </si>
  <si>
    <t>Setup Polywrap</t>
  </si>
  <si>
    <t>Polywrap 1 pc/m</t>
  </si>
  <si>
    <t>Polywrap Slip Sheet and 1 pc/m</t>
  </si>
  <si>
    <t>POLYBAG</t>
  </si>
  <si>
    <t>Setup Polybag</t>
  </si>
  <si>
    <t>Polybag 1 pc/m</t>
  </si>
  <si>
    <t>Setup Clear Bag:--Add Clear Bag cost Times 1.3</t>
  </si>
  <si>
    <t>Clear Bag--1 pc/m (Includes Inserting/Sealing)</t>
  </si>
  <si>
    <t>WAREHOUSE</t>
  </si>
  <si>
    <t>UPS charge</t>
  </si>
  <si>
    <t>+$11.00 for first box 
+$4.00 for each box 2-5</t>
  </si>
  <si>
    <t>Skid Storage/skid:</t>
  </si>
  <si>
    <t>$15/month</t>
  </si>
  <si>
    <t>Receiving w/ physical count/hour:</t>
  </si>
  <si>
    <t>Preparing skid for shipment</t>
  </si>
  <si>
    <t>Preparing unboxed inventory for shipment/hour</t>
  </si>
  <si>
    <t>Delivery/Pick up</t>
  </si>
  <si>
    <t>Keene, NH</t>
  </si>
  <si>
    <t>Brattleboro, VT</t>
  </si>
  <si>
    <t>Bellows Fall, VT</t>
  </si>
  <si>
    <t>Deliveries with Mailrite Truck</t>
  </si>
  <si>
    <t>Suggested Price</t>
  </si>
  <si>
    <t>Springfield NDC</t>
  </si>
  <si>
    <t>WRJ SCF</t>
  </si>
  <si>
    <t>Nashua SCF</t>
  </si>
  <si>
    <t>Burlington SCF</t>
  </si>
  <si>
    <t>NDC/SCF-CLIENT KEEPS THE SAVINGS</t>
  </si>
  <si>
    <t>Number of NDC/SCF's per job</t>
  </si>
  <si>
    <t>1</t>
  </si>
  <si>
    <t>2</t>
  </si>
  <si>
    <t>3</t>
  </si>
  <si>
    <t>4</t>
  </si>
  <si>
    <t>BMC (in DP)</t>
  </si>
  <si>
    <t>Prep for NDC/SCF Entry - Price per NDC/SCF</t>
  </si>
  <si>
    <t>Destination</t>
  </si>
  <si>
    <t>CT, MA, ME, NH, RI</t>
  </si>
  <si>
    <t>NY, NJ</t>
  </si>
  <si>
    <t>VT</t>
  </si>
  <si>
    <t># Pallets / Letter size</t>
  </si>
  <si>
    <t>12</t>
  </si>
  <si>
    <t>23</t>
  </si>
  <si>
    <t>34</t>
  </si>
  <si>
    <t>15</t>
  </si>
  <si>
    <t>26</t>
  </si>
  <si>
    <t>37</t>
  </si>
  <si>
    <t>Trucking Cost</t>
  </si>
  <si>
    <t>BMC (in Warehouse)</t>
  </si>
  <si>
    <t>Trucking Charge</t>
  </si>
  <si>
    <t>NDC/SCF-FIVE MAPLES KEEPS THE SAVINGS</t>
  </si>
  <si>
    <t xml:space="preserve">   Billing Postage: Bill the FULL COST taken from the Destination Summary Report supplied by DP.</t>
  </si>
  <si>
    <t>Client Services</t>
  </si>
  <si>
    <t>Sales Price</t>
  </si>
  <si>
    <t>Analysis</t>
  </si>
  <si>
    <t>Annual Fund Analysis - 10 years of data (includes RFM analysis)</t>
  </si>
  <si>
    <t>Mailing Analysis - one mailing</t>
  </si>
  <si>
    <t>Mailing Analysis - each additional mailing in same analysis</t>
  </si>
  <si>
    <t>Consulting Services</t>
  </si>
  <si>
    <t>Per quarter charge</t>
  </si>
  <si>
    <t>Day of Giving: at least 20 elements</t>
  </si>
  <si>
    <t>$130 per element</t>
  </si>
  <si>
    <t>Copywriting and Design - Prices for Clients</t>
  </si>
  <si>
    <t>Copywrite</t>
  </si>
  <si>
    <t>Revise Client Draft</t>
  </si>
  <si>
    <t>Edit Client Draft</t>
  </si>
  <si>
    <t>Design</t>
  </si>
  <si>
    <t>Update Existing or Client Design</t>
  </si>
  <si>
    <t>Layout, Schedule &amp; Release</t>
  </si>
  <si>
    <t>Price Paid to Darin for Copywriting</t>
  </si>
  <si>
    <t>Price Paid to Subcontractor for Design</t>
  </si>
  <si>
    <t>Additional versions</t>
  </si>
  <si>
    <t>Creative Brief</t>
  </si>
  <si>
    <t>Blog Post</t>
  </si>
  <si>
    <t>Holiday Card (single or folded) - no image or client supplied image</t>
  </si>
  <si>
    <t/>
  </si>
  <si>
    <t>Holiday Card (single or folded) - Five Maples sources image</t>
  </si>
  <si>
    <t>Card (single or folded) - no image or client supplied image</t>
  </si>
  <si>
    <t>Collateral - first page</t>
  </si>
  <si>
    <t>Card (single or folded) - Five Maples sources image (includes multiple use licence fee)</t>
  </si>
  <si>
    <t>Collateral - each additional page</t>
  </si>
  <si>
    <t>$85/hr</t>
  </si>
  <si>
    <t>Newsletter / Donor Impact Report - 2 pages</t>
  </si>
  <si>
    <t>Donor Impact Report - 2 pages</t>
  </si>
  <si>
    <t>Newsletter / Donor Impact Report - 4 pages</t>
  </si>
  <si>
    <t>Donor Impact Report/Newsletter - 2 pages</t>
  </si>
  <si>
    <t>Donor Impact Report - 4 pages</t>
  </si>
  <si>
    <t>Newsletter / Donor Impact Report - 8 pages</t>
  </si>
  <si>
    <t>Donor Impact Report/Newsletter - 4 pages</t>
  </si>
  <si>
    <t>Email</t>
  </si>
  <si>
    <t>Newsletter / Donor Impact Report - 8+ pages</t>
  </si>
  <si>
    <t>See Jillian</t>
  </si>
  <si>
    <t>Envelope (logo and return address)</t>
  </si>
  <si>
    <t>Infographic (Rack Card Size)</t>
  </si>
  <si>
    <t>Letter, one side - no photos</t>
  </si>
  <si>
    <t>Envelope (logo, return address, photo/tagline)</t>
  </si>
  <si>
    <t>Letter, one side - photo(s)</t>
  </si>
  <si>
    <t>Envelope (Regular BRE)</t>
  </si>
  <si>
    <t>Letter, two sides - no photos</t>
  </si>
  <si>
    <t>Envelope (Regular CRE)</t>
  </si>
  <si>
    <t>Letter, two sides - photo(s)</t>
  </si>
  <si>
    <t>Envelope (Remit reply)</t>
  </si>
  <si>
    <t>Letter, one side - no photos, includes tear off reply form</t>
  </si>
  <si>
    <t>Letter, one side - photo(s), includes tear off reply form</t>
  </si>
  <si>
    <t>Letter, two sides - no photos, includes tear off reply form</t>
  </si>
  <si>
    <t>Letter, two sides - photo(s), includes tear off reply form</t>
  </si>
  <si>
    <t>Postcard - B&amp;W</t>
  </si>
  <si>
    <t>Postcard - Color</t>
  </si>
  <si>
    <t>Rackcard - B&amp;W</t>
  </si>
  <si>
    <t>Rackcard - Color</t>
  </si>
  <si>
    <t>Reply card - 1 side</t>
  </si>
  <si>
    <t>Logo</t>
  </si>
  <si>
    <t>Reply card - 2 sides</t>
  </si>
  <si>
    <t>Logo withTag Line</t>
  </si>
  <si>
    <t>Reply form - 1 side</t>
  </si>
  <si>
    <t>Newsletter - 2 pages</t>
  </si>
  <si>
    <t>Reply form - 2 sides</t>
  </si>
  <si>
    <t>Newsletter - 4 pages</t>
  </si>
  <si>
    <t>Postcard / Rackcard</t>
  </si>
  <si>
    <t>Social Media Post</t>
  </si>
  <si>
    <t>Web Page</t>
  </si>
  <si>
    <t>High End Client Pricing (Navy SEALS)</t>
  </si>
  <si>
    <t>Price Paid to Copywriter for High End Work</t>
  </si>
  <si>
    <t>$115/hr</t>
  </si>
  <si>
    <t>Added Standard Price Lists</t>
  </si>
  <si>
    <t>Discount Level</t>
  </si>
  <si>
    <t>Break 1</t>
  </si>
  <si>
    <t>Break 2</t>
  </si>
  <si>
    <t>Break 3</t>
  </si>
  <si>
    <t>Break 4</t>
  </si>
  <si>
    <t>Break 5</t>
  </si>
  <si>
    <t>Break 6</t>
  </si>
  <si>
    <t>Break 7</t>
  </si>
  <si>
    <t>Break 8</t>
  </si>
  <si>
    <t>Break 9</t>
  </si>
  <si>
    <t>Break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</si>
</sst>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0_);_(&quot;$&quot;* \(#,##0.000\);_(&quot;$&quot;* &quot;-&quot;??_);_(@_)"/>
    <numFmt numFmtId="165" formatCode="&quot;$&quot;#,##0.00"/>
    <numFmt numFmtId="166" formatCode="0.000"/>
    <numFmt numFmtId="167" formatCode="0.00000"/>
    <numFmt numFmtId="168" formatCode="0.000000000"/>
    <numFmt numFmtId="169" formatCode="0.000000"/>
    <numFmt numFmtId="170" formatCode="0.0000"/>
    <numFmt numFmtId="171" formatCode="_(&quot;$&quot;* #,##0.00000_);_(&quot;$&quot;* \(#,##0.00000\);_(&quot;$&quot;* &quot;-&quot;??_);_(@_)"/>
    <numFmt numFmtId="172" formatCode="0.00000000000000"/>
    <numFmt numFmtId="173" formatCode="_(* #,##0_);_(* \(#,##0\);_(* &quot;-&quot;??_);_(@_)"/>
    <numFmt numFmtId="174" formatCode="_(&quot;$&quot;* #,##0_);_(&quot;$&quot;* \(#,##0\);_(&quot;$&quot;* &quot;-&quot;??_);_(@_)"/>
    <numFmt numFmtId="175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9" tint="0.79998168889431442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Calibri"/>
      <family val="2"/>
      <scheme val="minor"/>
    </font>
    <font>
      <i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theme="8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2" fillId="0" borderId="0"/>
  </cellStyleXfs>
  <cellXfs count="303">
    <xf numFmtId="0" fontId="0" fillId="0" borderId="0" xfId="0"/>
    <xf numFmtId="0" fontId="2" fillId="0" borderId="0" xfId="0" applyFont="1" applyFill="1" applyBorder="1" applyAlignment="1" applyProtection="1">
      <alignment horizontal="right"/>
    </xf>
    <xf numFmtId="44" fontId="0" fillId="0" borderId="0" xfId="2" applyFont="1" applyFill="1" applyBorder="1" applyAlignment="1" applyProtection="1">
      <alignment horizontal="right"/>
    </xf>
    <xf numFmtId="0" fontId="2" fillId="0" borderId="0" xfId="0" applyFont="1" applyFill="1" applyAlignment="1" applyProtection="1">
      <alignment horizontal="right"/>
    </xf>
    <xf numFmtId="43" fontId="0" fillId="0" borderId="0" xfId="1" applyFont="1" applyFill="1" applyProtection="1"/>
    <xf numFmtId="0" fontId="2" fillId="0" borderId="0" xfId="0" applyFont="1" applyBorder="1" applyProtection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4" fillId="0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Fill="1" applyBorder="1" applyAlignment="1" applyProtection="1">
      <alignment horizontal="center" wrapText="1"/>
    </xf>
    <xf numFmtId="0" fontId="4" fillId="0" borderId="0" xfId="0" applyFont="1" applyFill="1" applyProtection="1"/>
    <xf numFmtId="0" fontId="4" fillId="0" borderId="0" xfId="0" applyFont="1" applyFill="1" applyAlignment="1" applyProtection="1">
      <alignment horizontal="center" vertical="center"/>
    </xf>
    <xf numFmtId="44" fontId="4" fillId="0" borderId="0" xfId="2" applyFont="1" applyFill="1" applyBorder="1" applyAlignment="1" applyProtection="1">
      <alignment horizontal="right"/>
    </xf>
    <xf numFmtId="0" fontId="0" fillId="0" borderId="0" xfId="0" applyFont="1"/>
    <xf numFmtId="44" fontId="4" fillId="0" borderId="0" xfId="2" applyFont="1" applyFill="1" applyBorder="1" applyAlignment="1" applyProtection="1">
      <alignment horizontal="center"/>
    </xf>
    <xf numFmtId="0" fontId="4" fillId="0" borderId="0" xfId="0" applyFont="1" applyFill="1" applyAlignment="1" applyProtection="1">
      <alignment horizontal="right"/>
    </xf>
    <xf numFmtId="0" fontId="0" fillId="0" borderId="0" xfId="0" applyFont="1" applyFill="1" applyProtection="1"/>
    <xf numFmtId="0" fontId="4" fillId="0" borderId="0" xfId="0" applyFont="1" applyFill="1" applyBorder="1" applyProtection="1"/>
    <xf numFmtId="0" fontId="0" fillId="0" borderId="0" xfId="0" applyFont="1" applyBorder="1" applyAlignment="1">
      <alignment horizontal="right"/>
    </xf>
    <xf numFmtId="0" fontId="4" fillId="0" borderId="0" xfId="0" applyFont="1" applyFill="1" applyBorder="1" applyAlignment="1" applyProtection="1">
      <alignment horizontal="center" vertical="center"/>
    </xf>
    <xf numFmtId="0" fontId="5" fillId="0" borderId="0" xfId="0" applyFont="1" applyProtection="1"/>
    <xf numFmtId="0" fontId="0" fillId="0" borderId="0" xfId="0" applyFont="1" applyProtection="1"/>
    <xf numFmtId="0" fontId="0" fillId="0" borderId="0" xfId="0" applyFont="1" applyFill="1" applyAlignment="1" applyProtection="1">
      <alignment horizontal="right"/>
    </xf>
    <xf numFmtId="44" fontId="4" fillId="0" borderId="0" xfId="2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right"/>
    </xf>
    <xf numFmtId="0" fontId="3" fillId="0" borderId="0" xfId="3" applyFont="1" applyFill="1" applyAlignment="1" applyProtection="1">
      <alignment horizontal="right"/>
    </xf>
    <xf numFmtId="2" fontId="3" fillId="0" borderId="0" xfId="0" applyNumberFormat="1" applyFont="1" applyFill="1" applyAlignment="1" applyProtection="1"/>
    <xf numFmtId="0" fontId="0" fillId="0" borderId="0" xfId="0" applyFill="1" applyAlignment="1" applyProtection="1">
      <alignment horizontal="center"/>
    </xf>
    <xf numFmtId="0" fontId="2" fillId="0" borderId="0" xfId="3" applyFont="1" applyFill="1" applyAlignment="1" applyProtection="1">
      <alignment horizontal="center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 applyProtection="1">
      <alignment horizontal="center"/>
    </xf>
    <xf numFmtId="0" fontId="2" fillId="0" borderId="0" xfId="0" applyNumberFormat="1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right"/>
    </xf>
    <xf numFmtId="0" fontId="4" fillId="0" borderId="0" xfId="0" applyNumberFormat="1" applyFont="1" applyBorder="1" applyAlignment="1" applyProtection="1">
      <alignment horizontal="center"/>
    </xf>
    <xf numFmtId="44" fontId="4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/>
    <xf numFmtId="0" fontId="2" fillId="0" borderId="7" xfId="0" applyFont="1" applyBorder="1" applyAlignment="1" applyProtection="1">
      <alignment horizontal="center" vertical="center" wrapText="1"/>
      <protection locked="0"/>
    </xf>
    <xf numFmtId="0" fontId="4" fillId="0" borderId="0" xfId="0" applyFont="1" applyFill="1" applyAlignment="1" applyProtection="1">
      <alignment horizontal="left"/>
    </xf>
    <xf numFmtId="164" fontId="4" fillId="0" borderId="0" xfId="2" applyNumberFormat="1" applyFont="1" applyFill="1" applyBorder="1" applyAlignment="1" applyProtection="1">
      <alignment horizontal="center"/>
    </xf>
    <xf numFmtId="44" fontId="4" fillId="0" borderId="0" xfId="2" applyFont="1" applyFill="1" applyBorder="1"/>
    <xf numFmtId="166" fontId="0" fillId="0" borderId="0" xfId="0" applyNumberFormat="1" applyFont="1" applyFill="1" applyProtection="1"/>
    <xf numFmtId="0" fontId="2" fillId="0" borderId="0" xfId="0" applyFont="1" applyProtection="1"/>
    <xf numFmtId="0" fontId="1" fillId="0" borderId="0" xfId="0" applyFont="1" applyFill="1" applyBorder="1" applyAlignment="1" applyProtection="1">
      <alignment horizontal="left" vertical="center"/>
    </xf>
    <xf numFmtId="0" fontId="3" fillId="0" borderId="0" xfId="0" applyFont="1" applyProtection="1"/>
    <xf numFmtId="14" fontId="0" fillId="0" borderId="0" xfId="0" applyNumberFormat="1" applyFont="1"/>
    <xf numFmtId="0" fontId="0" fillId="0" borderId="8" xfId="0" applyFont="1" applyBorder="1" applyAlignment="1" applyProtection="1">
      <alignment horizontal="center"/>
    </xf>
    <xf numFmtId="0" fontId="4" fillId="0" borderId="0" xfId="0" applyFont="1" applyProtection="1"/>
    <xf numFmtId="0" fontId="2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horizontal="left"/>
    </xf>
    <xf numFmtId="164" fontId="7" fillId="0" borderId="0" xfId="2" applyNumberFormat="1" applyFont="1" applyFill="1" applyBorder="1" applyAlignment="1" applyProtection="1">
      <alignment vertical="center"/>
    </xf>
    <xf numFmtId="0" fontId="2" fillId="0" borderId="0" xfId="3" applyFont="1" applyFill="1" applyProtection="1"/>
    <xf numFmtId="0" fontId="2" fillId="0" borderId="0" xfId="3" applyFill="1" applyProtection="1"/>
    <xf numFmtId="0" fontId="2" fillId="0" borderId="0" xfId="3" applyProtection="1"/>
    <xf numFmtId="0" fontId="2" fillId="0" borderId="0" xfId="3" applyFont="1" applyProtection="1"/>
    <xf numFmtId="0" fontId="2" fillId="0" borderId="0" xfId="3" applyFont="1" applyFill="1" applyBorder="1" applyAlignment="1" applyProtection="1">
      <alignment horizontal="center"/>
    </xf>
    <xf numFmtId="0" fontId="2" fillId="0" borderId="0" xfId="3" applyFill="1" applyAlignment="1" applyProtection="1">
      <alignment horizontal="center"/>
    </xf>
    <xf numFmtId="0" fontId="2" fillId="0" borderId="0" xfId="3" applyFont="1" applyFill="1" applyBorder="1" applyAlignment="1" applyProtection="1">
      <alignment horizontal="left" vertical="center"/>
      <protection locked="0"/>
    </xf>
    <xf numFmtId="1" fontId="2" fillId="0" borderId="0" xfId="3" applyNumberFormat="1" applyProtection="1"/>
    <xf numFmtId="9" fontId="0" fillId="0" borderId="0" xfId="4" applyFont="1" applyProtection="1"/>
    <xf numFmtId="0" fontId="2" fillId="0" borderId="0" xfId="3" applyFont="1" applyFill="1" applyAlignment="1" applyProtection="1">
      <alignment horizontal="left" vertical="center"/>
      <protection locked="0"/>
    </xf>
    <xf numFmtId="0" fontId="2" fillId="0" borderId="0" xfId="3" applyFont="1" applyFill="1" applyAlignment="1" applyProtection="1">
      <alignment horizontal="left"/>
    </xf>
    <xf numFmtId="0" fontId="2" fillId="0" borderId="0" xfId="3" applyFill="1" applyBorder="1" applyAlignment="1" applyProtection="1">
      <alignment horizontal="center"/>
    </xf>
    <xf numFmtId="0" fontId="2" fillId="0" borderId="0" xfId="3" applyFont="1" applyFill="1" applyBorder="1" applyProtection="1"/>
    <xf numFmtId="0" fontId="2" fillId="0" borderId="19" xfId="0" applyFont="1" applyBorder="1" applyAlignment="1" applyProtection="1">
      <alignment horizontal="center" vertical="center" wrapText="1"/>
      <protection locked="0"/>
    </xf>
    <xf numFmtId="0" fontId="3" fillId="0" borderId="25" xfId="0" applyFont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center"/>
      <protection locked="0"/>
    </xf>
    <xf numFmtId="0" fontId="3" fillId="0" borderId="27" xfId="0" applyFont="1" applyBorder="1" applyAlignment="1" applyProtection="1">
      <alignment horizontal="center"/>
      <protection locked="0"/>
    </xf>
    <xf numFmtId="0" fontId="2" fillId="0" borderId="20" xfId="3" applyNumberFormat="1" applyFont="1" applyFill="1" applyBorder="1" applyAlignment="1">
      <alignment horizontal="center"/>
    </xf>
    <xf numFmtId="0" fontId="2" fillId="0" borderId="22" xfId="3" applyNumberFormat="1" applyFont="1" applyFill="1" applyBorder="1" applyAlignment="1"/>
    <xf numFmtId="0" fontId="2" fillId="0" borderId="21" xfId="3" applyNumberFormat="1" applyFont="1" applyFill="1" applyBorder="1" applyAlignment="1">
      <alignment horizontal="center"/>
    </xf>
    <xf numFmtId="0" fontId="2" fillId="0" borderId="23" xfId="3" applyNumberFormat="1" applyFont="1" applyFill="1" applyBorder="1" applyAlignment="1"/>
    <xf numFmtId="0" fontId="0" fillId="0" borderId="0" xfId="4" applyNumberFormat="1" applyFont="1" applyProtection="1"/>
    <xf numFmtId="11" fontId="0" fillId="0" borderId="0" xfId="0" applyNumberFormat="1"/>
    <xf numFmtId="170" fontId="0" fillId="0" borderId="0" xfId="0" applyNumberFormat="1"/>
    <xf numFmtId="0" fontId="3" fillId="4" borderId="19" xfId="0" applyFont="1" applyFill="1" applyBorder="1" applyAlignment="1" applyProtection="1">
      <alignment vertical="center"/>
      <protection locked="0"/>
    </xf>
    <xf numFmtId="0" fontId="3" fillId="4" borderId="1" xfId="0" applyFont="1" applyFill="1" applyBorder="1" applyAlignment="1" applyProtection="1">
      <alignment vertical="center"/>
      <protection locked="0"/>
    </xf>
    <xf numFmtId="0" fontId="3" fillId="4" borderId="7" xfId="0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 applyProtection="1">
      <alignment horizontal="center"/>
    </xf>
    <xf numFmtId="44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>
      <alignment horizontal="center"/>
    </xf>
    <xf numFmtId="0" fontId="8" fillId="0" borderId="0" xfId="0" applyFont="1"/>
    <xf numFmtId="0" fontId="0" fillId="0" borderId="0" xfId="0" applyNumberFormat="1" applyFont="1" applyAlignment="1" applyProtection="1">
      <alignment horizontal="center"/>
    </xf>
    <xf numFmtId="0" fontId="0" fillId="0" borderId="8" xfId="0" applyNumberFormat="1" applyFont="1" applyBorder="1" applyAlignment="1" applyProtection="1">
      <alignment horizontal="center"/>
    </xf>
    <xf numFmtId="0" fontId="4" fillId="0" borderId="0" xfId="0" applyNumberFormat="1" applyFont="1" applyAlignment="1" applyProtection="1">
      <alignment horizontal="center"/>
    </xf>
    <xf numFmtId="0" fontId="0" fillId="0" borderId="0" xfId="0" applyNumberFormat="1" applyFont="1"/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 applyFill="1"/>
    <xf numFmtId="168" fontId="8" fillId="0" borderId="0" xfId="0" applyNumberFormat="1" applyFont="1"/>
    <xf numFmtId="44" fontId="8" fillId="0" borderId="19" xfId="2" applyFont="1" applyBorder="1" applyAlignment="1" applyProtection="1">
      <alignment horizontal="center" vertical="center"/>
      <protection locked="0"/>
    </xf>
    <xf numFmtId="44" fontId="8" fillId="0" borderId="7" xfId="2" applyFont="1" applyBorder="1" applyAlignment="1" applyProtection="1">
      <alignment horizontal="center" vertical="center"/>
      <protection locked="0"/>
    </xf>
    <xf numFmtId="0" fontId="12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8" fillId="0" borderId="0" xfId="0" applyNumberFormat="1" applyFont="1"/>
    <xf numFmtId="167" fontId="8" fillId="0" borderId="0" xfId="0" applyNumberFormat="1" applyFont="1"/>
    <xf numFmtId="169" fontId="8" fillId="0" borderId="0" xfId="2" applyNumberFormat="1" applyFont="1" applyFill="1" applyBorder="1" applyAlignment="1" applyProtection="1">
      <alignment vertical="center"/>
    </xf>
    <xf numFmtId="44" fontId="8" fillId="0" borderId="0" xfId="2" applyFont="1" applyFill="1" applyBorder="1" applyAlignment="1" applyProtection="1">
      <alignment vertical="center"/>
    </xf>
    <xf numFmtId="0" fontId="8" fillId="0" borderId="0" xfId="0" applyFont="1" applyAlignment="1">
      <alignment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7" xfId="0" applyFont="1" applyBorder="1" applyAlignment="1" applyProtection="1">
      <alignment horizontal="center" vertical="center" wrapText="1"/>
      <protection locked="0"/>
    </xf>
    <xf numFmtId="171" fontId="8" fillId="0" borderId="0" xfId="2" applyNumberFormat="1" applyFont="1" applyFill="1" applyBorder="1" applyAlignment="1" applyProtection="1">
      <alignment vertical="center"/>
    </xf>
    <xf numFmtId="172" fontId="8" fillId="0" borderId="0" xfId="0" applyNumberFormat="1" applyFont="1"/>
    <xf numFmtId="49" fontId="8" fillId="0" borderId="19" xfId="0" applyNumberFormat="1" applyFont="1" applyBorder="1" applyAlignment="1" applyProtection="1">
      <alignment horizontal="center" vertical="center" wrapText="1"/>
      <protection locked="0"/>
    </xf>
    <xf numFmtId="168" fontId="8" fillId="0" borderId="0" xfId="0" applyNumberFormat="1" applyFont="1" applyAlignment="1">
      <alignment wrapText="1"/>
    </xf>
    <xf numFmtId="0" fontId="3" fillId="0" borderId="24" xfId="0" applyFont="1" applyBorder="1" applyAlignment="1" applyProtection="1">
      <alignment vertical="center" wrapText="1"/>
    </xf>
    <xf numFmtId="0" fontId="2" fillId="0" borderId="24" xfId="0" applyNumberFormat="1" applyFont="1" applyBorder="1" applyAlignment="1" applyProtection="1">
      <alignment vertical="center"/>
    </xf>
    <xf numFmtId="0" fontId="2" fillId="0" borderId="15" xfId="0" applyNumberFormat="1" applyFont="1" applyBorder="1" applyAlignment="1" applyProtection="1">
      <alignment vertical="center"/>
    </xf>
    <xf numFmtId="14" fontId="8" fillId="0" borderId="11" xfId="0" applyNumberFormat="1" applyFont="1" applyBorder="1" applyAlignment="1" applyProtection="1">
      <alignment horizontal="center" vertical="center" wrapText="1"/>
    </xf>
    <xf numFmtId="0" fontId="3" fillId="0" borderId="24" xfId="0" applyFont="1" applyBorder="1" applyAlignment="1" applyProtection="1">
      <alignment vertical="center"/>
    </xf>
    <xf numFmtId="0" fontId="3" fillId="4" borderId="24" xfId="0" applyNumberFormat="1" applyFont="1" applyFill="1" applyBorder="1" applyAlignment="1" applyProtection="1">
      <alignment vertical="center"/>
    </xf>
    <xf numFmtId="0" fontId="3" fillId="0" borderId="3" xfId="0" applyFont="1" applyBorder="1" applyAlignment="1" applyProtection="1">
      <alignment horizontal="center"/>
    </xf>
    <xf numFmtId="0" fontId="3" fillId="0" borderId="4" xfId="0" applyFont="1" applyBorder="1" applyAlignment="1" applyProtection="1">
      <alignment horizontal="center"/>
    </xf>
    <xf numFmtId="0" fontId="8" fillId="3" borderId="17" xfId="0" applyFont="1" applyFill="1" applyBorder="1" applyProtection="1"/>
    <xf numFmtId="164" fontId="7" fillId="0" borderId="19" xfId="2" applyNumberFormat="1" applyFont="1" applyBorder="1" applyAlignment="1" applyProtection="1">
      <alignment vertical="center"/>
      <protection hidden="1"/>
    </xf>
    <xf numFmtId="164" fontId="7" fillId="0" borderId="1" xfId="2" applyNumberFormat="1" applyFont="1" applyBorder="1" applyAlignment="1" applyProtection="1">
      <alignment vertical="center"/>
      <protection hidden="1"/>
    </xf>
    <xf numFmtId="164" fontId="7" fillId="0" borderId="7" xfId="2" applyNumberFormat="1" applyFont="1" applyBorder="1" applyAlignment="1" applyProtection="1">
      <alignment vertical="center"/>
      <protection hidden="1"/>
    </xf>
    <xf numFmtId="44" fontId="8" fillId="0" borderId="19" xfId="2" applyFont="1" applyBorder="1" applyAlignment="1" applyProtection="1">
      <alignment vertical="center"/>
      <protection hidden="1"/>
    </xf>
    <xf numFmtId="44" fontId="8" fillId="0" borderId="1" xfId="2" applyFont="1" applyBorder="1" applyAlignment="1" applyProtection="1">
      <alignment vertical="center"/>
      <protection hidden="1"/>
    </xf>
    <xf numFmtId="44" fontId="8" fillId="0" borderId="7" xfId="2" applyFont="1" applyBorder="1" applyAlignment="1" applyProtection="1">
      <alignment vertical="center"/>
      <protection hidden="1"/>
    </xf>
    <xf numFmtId="44" fontId="8" fillId="0" borderId="18" xfId="2" applyFont="1" applyBorder="1" applyAlignment="1" applyProtection="1">
      <alignment vertical="center"/>
      <protection hidden="1"/>
    </xf>
    <xf numFmtId="44" fontId="8" fillId="0" borderId="5" xfId="2" applyFont="1" applyBorder="1" applyAlignment="1" applyProtection="1">
      <alignment vertical="center"/>
      <protection hidden="1"/>
    </xf>
    <xf numFmtId="44" fontId="8" fillId="0" borderId="6" xfId="2" applyFont="1" applyBorder="1" applyAlignment="1" applyProtection="1">
      <alignment vertical="center"/>
      <protection hidden="1"/>
    </xf>
    <xf numFmtId="0" fontId="0" fillId="0" borderId="0" xfId="0" applyFont="1" applyAlignment="1">
      <alignment horizontal="right" wrapText="1"/>
    </xf>
    <xf numFmtId="0" fontId="4" fillId="0" borderId="0" xfId="0" applyFont="1" applyAlignment="1">
      <alignment wrapText="1"/>
    </xf>
    <xf numFmtId="0" fontId="0" fillId="0" borderId="0" xfId="0" applyFont="1" applyAlignment="1">
      <alignment horizontal="right"/>
    </xf>
    <xf numFmtId="0" fontId="10" fillId="0" borderId="0" xfId="0" applyFont="1"/>
    <xf numFmtId="0" fontId="13" fillId="0" borderId="0" xfId="0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wrapText="1"/>
    </xf>
    <xf numFmtId="44" fontId="0" fillId="0" borderId="0" xfId="2" applyNumberFormat="1" applyFont="1" applyFill="1" applyBorder="1" applyAlignment="1">
      <alignment horizontal="right"/>
    </xf>
    <xf numFmtId="0" fontId="0" fillId="0" borderId="28" xfId="0" applyFont="1" applyFill="1" applyBorder="1" applyAlignment="1">
      <alignment wrapText="1"/>
    </xf>
    <xf numFmtId="44" fontId="0" fillId="0" borderId="28" xfId="2" applyNumberFormat="1" applyFont="1" applyFill="1" applyBorder="1" applyAlignment="1">
      <alignment horizontal="right"/>
    </xf>
    <xf numFmtId="9" fontId="0" fillId="0" borderId="28" xfId="9" applyNumberFormat="1" applyFont="1" applyFill="1" applyBorder="1" applyAlignment="1">
      <alignment horizontal="right"/>
    </xf>
    <xf numFmtId="0" fontId="0" fillId="0" borderId="0" xfId="0" applyFont="1" applyAlignment="1">
      <alignment wrapText="1"/>
    </xf>
    <xf numFmtId="9" fontId="0" fillId="0" borderId="0" xfId="9" applyFont="1" applyAlignment="1">
      <alignment horizontal="right"/>
    </xf>
    <xf numFmtId="0" fontId="14" fillId="8" borderId="0" xfId="0" applyFont="1" applyFill="1" applyAlignment="1">
      <alignment horizontal="centerContinuous" wrapText="1"/>
    </xf>
    <xf numFmtId="0" fontId="14" fillId="8" borderId="0" xfId="0" applyFont="1" applyFill="1" applyAlignment="1">
      <alignment horizontal="centerContinuous"/>
    </xf>
    <xf numFmtId="0" fontId="4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Font="1" applyAlignment="1">
      <alignment horizontal="center" wrapText="1"/>
    </xf>
    <xf numFmtId="44" fontId="0" fillId="0" borderId="0" xfId="2" applyFont="1" applyAlignment="1">
      <alignment horizontal="right"/>
    </xf>
    <xf numFmtId="0" fontId="0" fillId="9" borderId="0" xfId="0" applyFont="1" applyFill="1" applyAlignment="1">
      <alignment wrapText="1"/>
    </xf>
    <xf numFmtId="0" fontId="14" fillId="8" borderId="0" xfId="0" applyFont="1" applyFill="1" applyAlignment="1">
      <alignment horizontal="center"/>
    </xf>
    <xf numFmtId="44" fontId="0" fillId="0" borderId="0" xfId="2" applyFont="1" applyFill="1" applyBorder="1" applyAlignment="1">
      <alignment horizontal="center"/>
    </xf>
    <xf numFmtId="44" fontId="13" fillId="0" borderId="0" xfId="2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173" fontId="0" fillId="0" borderId="0" xfId="1" applyNumberFormat="1" applyFont="1" applyAlignment="1">
      <alignment horizontal="right"/>
    </xf>
    <xf numFmtId="44" fontId="0" fillId="0" borderId="0" xfId="2" applyFont="1"/>
    <xf numFmtId="44" fontId="0" fillId="10" borderId="0" xfId="2" applyFont="1" applyFill="1"/>
    <xf numFmtId="0" fontId="0" fillId="0" borderId="0" xfId="0" applyFont="1" applyFill="1" applyAlignment="1">
      <alignment wrapText="1"/>
    </xf>
    <xf numFmtId="44" fontId="0" fillId="0" borderId="0" xfId="2" applyFont="1" applyFill="1" applyAlignment="1">
      <alignment horizontal="right"/>
    </xf>
    <xf numFmtId="0" fontId="0" fillId="0" borderId="0" xfId="0" applyFont="1" applyFill="1"/>
    <xf numFmtId="0" fontId="5" fillId="8" borderId="0" xfId="0" applyFont="1" applyFill="1" applyAlignment="1">
      <alignment horizontal="centerContinuous" wrapText="1"/>
    </xf>
    <xf numFmtId="0" fontId="5" fillId="8" borderId="0" xfId="0" applyFont="1" applyFill="1" applyAlignment="1">
      <alignment horizontal="centerContinuous"/>
    </xf>
    <xf numFmtId="0" fontId="0" fillId="0" borderId="29" xfId="0" applyFont="1" applyFill="1" applyBorder="1" applyAlignment="1">
      <alignment wrapText="1"/>
    </xf>
    <xf numFmtId="44" fontId="0" fillId="0" borderId="0" xfId="2" applyNumberFormat="1" applyFont="1" applyFill="1" applyBorder="1"/>
    <xf numFmtId="44" fontId="0" fillId="0" borderId="0" xfId="2" applyFont="1" applyFill="1"/>
    <xf numFmtId="0" fontId="0" fillId="0" borderId="0" xfId="0" applyFont="1" applyFill="1" applyBorder="1"/>
    <xf numFmtId="0" fontId="0" fillId="0" borderId="30" xfId="0" applyFont="1" applyFill="1" applyBorder="1" applyAlignment="1">
      <alignment wrapText="1"/>
    </xf>
    <xf numFmtId="44" fontId="0" fillId="0" borderId="28" xfId="2" applyNumberFormat="1" applyFont="1" applyFill="1" applyBorder="1"/>
    <xf numFmtId="0" fontId="0" fillId="0" borderId="28" xfId="0" applyFont="1" applyFill="1" applyBorder="1"/>
    <xf numFmtId="0" fontId="0" fillId="0" borderId="31" xfId="0" applyFont="1" applyFill="1" applyBorder="1" applyAlignment="1">
      <alignment wrapText="1"/>
    </xf>
    <xf numFmtId="44" fontId="0" fillId="0" borderId="32" xfId="2" applyNumberFormat="1" applyFont="1" applyFill="1" applyBorder="1" applyAlignment="1">
      <alignment horizontal="right"/>
    </xf>
    <xf numFmtId="44" fontId="0" fillId="0" borderId="32" xfId="2" applyNumberFormat="1" applyFont="1" applyFill="1" applyBorder="1"/>
    <xf numFmtId="0" fontId="0" fillId="0" borderId="32" xfId="0" applyFont="1" applyFill="1" applyBorder="1"/>
    <xf numFmtId="0" fontId="0" fillId="0" borderId="29" xfId="0" applyFont="1" applyBorder="1" applyAlignment="1">
      <alignment wrapText="1"/>
    </xf>
    <xf numFmtId="44" fontId="0" fillId="0" borderId="0" xfId="2" applyNumberFormat="1" applyFont="1" applyBorder="1" applyAlignment="1">
      <alignment horizontal="right"/>
    </xf>
    <xf numFmtId="44" fontId="0" fillId="0" borderId="0" xfId="2" applyNumberFormat="1" applyFont="1" applyBorder="1"/>
    <xf numFmtId="0" fontId="0" fillId="0" borderId="32" xfId="0" applyFont="1" applyBorder="1"/>
    <xf numFmtId="0" fontId="0" fillId="0" borderId="33" xfId="0" applyFont="1" applyBorder="1"/>
    <xf numFmtId="0" fontId="14" fillId="8" borderId="0" xfId="0" applyFont="1" applyFill="1" applyBorder="1" applyAlignment="1">
      <alignment horizontal="centerContinuous" wrapText="1"/>
    </xf>
    <xf numFmtId="0" fontId="14" fillId="8" borderId="0" xfId="0" applyFont="1" applyFill="1" applyBorder="1" applyAlignment="1">
      <alignment horizontal="centerContinuous"/>
    </xf>
    <xf numFmtId="0" fontId="0" fillId="11" borderId="33" xfId="0" applyFont="1" applyFill="1" applyBorder="1" applyAlignment="1">
      <alignment wrapText="1"/>
    </xf>
    <xf numFmtId="0" fontId="0" fillId="0" borderId="33" xfId="0" applyFont="1" applyFill="1" applyBorder="1" applyAlignment="1">
      <alignment wrapText="1"/>
    </xf>
    <xf numFmtId="44" fontId="0" fillId="0" borderId="33" xfId="2" applyNumberFormat="1" applyFont="1" applyFill="1" applyBorder="1" applyAlignment="1">
      <alignment horizontal="right"/>
    </xf>
    <xf numFmtId="0" fontId="0" fillId="9" borderId="32" xfId="0" applyFont="1" applyFill="1" applyBorder="1" applyAlignment="1">
      <alignment wrapText="1"/>
    </xf>
    <xf numFmtId="0" fontId="0" fillId="0" borderId="32" xfId="0" applyFont="1" applyFill="1" applyBorder="1" applyAlignment="1">
      <alignment wrapText="1"/>
    </xf>
    <xf numFmtId="0" fontId="0" fillId="11" borderId="28" xfId="0" applyFont="1" applyFill="1" applyBorder="1" applyAlignment="1">
      <alignment wrapText="1"/>
    </xf>
    <xf numFmtId="0" fontId="4" fillId="0" borderId="0" xfId="0" applyFont="1" applyFill="1" applyBorder="1" applyAlignment="1" applyProtection="1">
      <alignment wrapText="1"/>
    </xf>
    <xf numFmtId="44" fontId="0" fillId="0" borderId="0" xfId="7" quotePrefix="1" applyFont="1" applyFill="1" applyBorder="1" applyAlignment="1" applyProtection="1">
      <alignment horizontal="right" wrapText="1"/>
    </xf>
    <xf numFmtId="0" fontId="0" fillId="0" borderId="0" xfId="0" applyFont="1" applyFill="1" applyBorder="1" applyProtection="1"/>
    <xf numFmtId="0" fontId="0" fillId="0" borderId="0" xfId="0" applyFont="1" applyFill="1" applyBorder="1" applyAlignment="1" applyProtection="1">
      <alignment wrapText="1"/>
    </xf>
    <xf numFmtId="44" fontId="0" fillId="0" borderId="0" xfId="7" applyFont="1" applyFill="1" applyBorder="1" applyAlignment="1" applyProtection="1">
      <alignment horizontal="right" wrapText="1"/>
    </xf>
    <xf numFmtId="44" fontId="0" fillId="0" borderId="0" xfId="7" applyFont="1" applyFill="1" applyBorder="1" applyAlignment="1" applyProtection="1">
      <alignment wrapText="1"/>
    </xf>
    <xf numFmtId="0" fontId="13" fillId="0" borderId="0" xfId="0" applyFont="1" applyFill="1" applyBorder="1" applyAlignment="1" applyProtection="1">
      <alignment horizontal="left" wrapText="1"/>
    </xf>
    <xf numFmtId="0" fontId="0" fillId="0" borderId="0" xfId="0" applyFont="1" applyFill="1" applyBorder="1" applyAlignment="1" applyProtection="1">
      <alignment horizontal="left" wrapText="1"/>
    </xf>
    <xf numFmtId="0" fontId="5" fillId="0" borderId="0" xfId="0" applyFont="1" applyFill="1" applyBorder="1" applyAlignment="1" applyProtection="1">
      <alignment horizontal="left" wrapText="1"/>
    </xf>
    <xf numFmtId="0" fontId="15" fillId="0" borderId="0" xfId="0" applyFont="1" applyFill="1" applyBorder="1" applyAlignment="1" applyProtection="1">
      <alignment horizontal="left" wrapText="1"/>
    </xf>
    <xf numFmtId="0" fontId="15" fillId="0" borderId="0" xfId="0" applyFont="1" applyFill="1" applyBorder="1" applyAlignment="1" applyProtection="1">
      <alignment horizontal="center"/>
    </xf>
    <xf numFmtId="14" fontId="4" fillId="0" borderId="0" xfId="0" applyNumberFormat="1" applyFont="1" applyFill="1" applyBorder="1" applyProtection="1"/>
    <xf numFmtId="14" fontId="4" fillId="0" borderId="0" xfId="0" applyNumberFormat="1" applyFont="1" applyFill="1" applyProtection="1"/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wrapText="1"/>
    </xf>
    <xf numFmtId="0" fontId="4" fillId="0" borderId="0" xfId="0" applyFont="1" applyFill="1" applyBorder="1" applyAlignment="1" applyProtection="1">
      <alignment horizontal="left" wrapText="1"/>
    </xf>
    <xf numFmtId="44" fontId="0" fillId="0" borderId="0" xfId="7" applyFont="1" applyFill="1" applyBorder="1" applyProtection="1"/>
    <xf numFmtId="44" fontId="4" fillId="0" borderId="0" xfId="7" applyFont="1" applyFill="1" applyBorder="1" applyProtection="1"/>
    <xf numFmtId="0" fontId="15" fillId="0" borderId="0" xfId="5" quotePrefix="1" applyFont="1" applyFill="1" applyBorder="1" applyAlignment="1" applyProtection="1">
      <alignment wrapText="1"/>
    </xf>
    <xf numFmtId="0" fontId="5" fillId="0" borderId="0" xfId="5" quotePrefix="1" applyFont="1" applyFill="1" applyBorder="1" applyAlignment="1" applyProtection="1">
      <alignment wrapText="1"/>
    </xf>
    <xf numFmtId="165" fontId="0" fillId="0" borderId="0" xfId="5" applyNumberFormat="1" applyFont="1" applyFill="1" applyBorder="1" applyAlignment="1" applyProtection="1">
      <alignment horizontal="center"/>
    </xf>
    <xf numFmtId="165" fontId="0" fillId="0" borderId="0" xfId="5" applyNumberFormat="1" applyFont="1" applyFill="1" applyBorder="1" applyAlignment="1" applyProtection="1">
      <alignment horizontal="left"/>
    </xf>
    <xf numFmtId="0" fontId="0" fillId="0" borderId="0" xfId="5" applyFont="1" applyFill="1" applyProtection="1"/>
    <xf numFmtId="0" fontId="5" fillId="8" borderId="0" xfId="5" applyFont="1" applyFill="1" applyBorder="1" applyAlignment="1" applyProtection="1">
      <alignment horizontal="centerContinuous" wrapText="1"/>
    </xf>
    <xf numFmtId="0" fontId="5" fillId="8" borderId="0" xfId="5" applyFont="1" applyFill="1" applyBorder="1" applyAlignment="1" applyProtection="1">
      <alignment horizontal="centerContinuous"/>
    </xf>
    <xf numFmtId="0" fontId="14" fillId="8" borderId="0" xfId="0" applyFont="1" applyFill="1" applyBorder="1" applyAlignment="1" applyProtection="1">
      <alignment horizontal="centerContinuous"/>
    </xf>
    <xf numFmtId="0" fontId="0" fillId="0" borderId="0" xfId="0" applyFont="1" applyBorder="1" applyProtection="1"/>
    <xf numFmtId="0" fontId="0" fillId="0" borderId="0" xfId="5" applyFont="1" applyFill="1" applyBorder="1" applyProtection="1"/>
    <xf numFmtId="0" fontId="13" fillId="0" borderId="0" xfId="5" applyNumberFormat="1" applyFont="1" applyFill="1" applyBorder="1" applyAlignment="1">
      <alignment horizontal="left" wrapText="1"/>
    </xf>
    <xf numFmtId="0" fontId="16" fillId="0" borderId="0" xfId="5" applyNumberFormat="1" applyFont="1" applyFill="1" applyBorder="1" applyAlignment="1">
      <alignment horizontal="center" wrapText="1"/>
    </xf>
    <xf numFmtId="0" fontId="16" fillId="0" borderId="0" xfId="5" applyNumberFormat="1" applyFont="1" applyFill="1" applyBorder="1" applyAlignment="1">
      <alignment horizontal="center"/>
    </xf>
    <xf numFmtId="0" fontId="4" fillId="0" borderId="0" xfId="5" applyNumberFormat="1" applyFont="1" applyFill="1" applyBorder="1" applyAlignment="1">
      <alignment horizontal="left" wrapText="1"/>
    </xf>
    <xf numFmtId="44" fontId="0" fillId="0" borderId="0" xfId="6" applyNumberFormat="1" applyFont="1" applyFill="1" applyBorder="1" applyAlignment="1">
      <alignment wrapText="1"/>
    </xf>
    <xf numFmtId="6" fontId="0" fillId="0" borderId="0" xfId="6" applyNumberFormat="1" applyFont="1" applyFill="1" applyBorder="1" applyAlignment="1">
      <alignment horizontal="center"/>
    </xf>
    <xf numFmtId="0" fontId="4" fillId="0" borderId="0" xfId="5" applyFont="1" applyFill="1" applyBorder="1" applyAlignment="1" applyProtection="1">
      <alignment horizontal="right" wrapText="1"/>
    </xf>
    <xf numFmtId="0" fontId="0" fillId="0" borderId="0" xfId="5" applyFont="1" applyFill="1" applyBorder="1" applyAlignment="1" applyProtection="1">
      <alignment horizontal="right" wrapText="1"/>
    </xf>
    <xf numFmtId="0" fontId="0" fillId="0" borderId="0" xfId="5" applyFont="1" applyFill="1" applyBorder="1" applyAlignment="1" applyProtection="1">
      <alignment horizontal="right"/>
    </xf>
    <xf numFmtId="44" fontId="0" fillId="0" borderId="0" xfId="6" applyFont="1" applyFill="1" applyBorder="1" applyProtection="1"/>
    <xf numFmtId="6" fontId="0" fillId="0" borderId="0" xfId="6" quotePrefix="1" applyNumberFormat="1" applyFont="1" applyFill="1" applyBorder="1" applyAlignment="1" applyProtection="1">
      <alignment horizontal="center"/>
    </xf>
    <xf numFmtId="0" fontId="5" fillId="0" borderId="0" xfId="5" applyFont="1" applyFill="1" applyBorder="1" applyAlignment="1" applyProtection="1">
      <alignment horizontal="left" vertical="center" wrapText="1"/>
    </xf>
    <xf numFmtId="0" fontId="0" fillId="0" borderId="0" xfId="5" applyFont="1" applyFill="1" applyBorder="1" applyAlignment="1" applyProtection="1">
      <alignment horizontal="right" vertical="center" wrapText="1"/>
    </xf>
    <xf numFmtId="0" fontId="0" fillId="0" borderId="0" xfId="5" applyFont="1" applyFill="1" applyBorder="1" applyAlignment="1" applyProtection="1">
      <alignment horizontal="right" vertical="center"/>
    </xf>
    <xf numFmtId="0" fontId="0" fillId="0" borderId="0" xfId="5" applyFont="1" applyFill="1" applyBorder="1" applyAlignment="1" applyProtection="1">
      <alignment vertical="center"/>
    </xf>
    <xf numFmtId="44" fontId="0" fillId="0" borderId="0" xfId="6" applyFont="1" applyFill="1" applyBorder="1" applyAlignment="1" applyProtection="1">
      <alignment horizontal="center" wrapText="1"/>
    </xf>
    <xf numFmtId="0" fontId="0" fillId="10" borderId="0" xfId="0" applyFont="1" applyFill="1"/>
    <xf numFmtId="0" fontId="17" fillId="12" borderId="23" xfId="5" applyFont="1" applyFill="1" applyBorder="1" applyAlignment="1" applyProtection="1">
      <alignment horizontal="center" wrapText="1"/>
    </xf>
    <xf numFmtId="0" fontId="13" fillId="0" borderId="0" xfId="5" applyNumberFormat="1" applyFont="1" applyFill="1" applyBorder="1" applyAlignment="1">
      <alignment horizontal="center" wrapText="1"/>
    </xf>
    <xf numFmtId="0" fontId="13" fillId="0" borderId="0" xfId="5" applyNumberFormat="1" applyFont="1" applyFill="1" applyBorder="1" applyAlignment="1">
      <alignment horizontal="center"/>
    </xf>
    <xf numFmtId="0" fontId="14" fillId="0" borderId="0" xfId="5" applyNumberFormat="1" applyFont="1" applyFill="1" applyBorder="1" applyAlignment="1">
      <alignment horizontal="right" wrapText="1"/>
    </xf>
    <xf numFmtId="165" fontId="0" fillId="0" borderId="0" xfId="5" applyNumberFormat="1" applyFont="1" applyFill="1" applyBorder="1" applyAlignment="1">
      <alignment wrapText="1"/>
    </xf>
    <xf numFmtId="165" fontId="0" fillId="0" borderId="0" xfId="5" applyNumberFormat="1" applyFont="1" applyFill="1" applyBorder="1" applyAlignment="1"/>
    <xf numFmtId="0" fontId="4" fillId="0" borderId="0" xfId="5" applyFont="1" applyFill="1" applyBorder="1" applyAlignment="1" applyProtection="1">
      <alignment horizontal="right" vertical="center" wrapText="1"/>
    </xf>
    <xf numFmtId="0" fontId="4" fillId="0" borderId="0" xfId="0" applyFont="1" applyAlignment="1" applyProtection="1">
      <alignment wrapText="1"/>
    </xf>
    <xf numFmtId="0" fontId="0" fillId="0" borderId="0" xfId="5" applyFont="1" applyFill="1" applyAlignment="1" applyProtection="1">
      <alignment horizontal="right" vertical="center"/>
    </xf>
    <xf numFmtId="0" fontId="0" fillId="0" borderId="0" xfId="5" applyFont="1" applyFill="1" applyBorder="1" applyAlignment="1" applyProtection="1">
      <alignment wrapText="1"/>
    </xf>
    <xf numFmtId="0" fontId="4" fillId="0" borderId="0" xfId="5" applyFont="1" applyFill="1" applyBorder="1" applyAlignment="1" applyProtection="1"/>
    <xf numFmtId="0" fontId="19" fillId="0" borderId="0" xfId="10" applyFont="1" applyFill="1" applyBorder="1"/>
    <xf numFmtId="0" fontId="19" fillId="0" borderId="0" xfId="10" applyFont="1" applyFill="1" applyBorder="1" applyAlignment="1">
      <alignment wrapText="1"/>
    </xf>
    <xf numFmtId="0" fontId="20" fillId="0" borderId="0" xfId="10" applyFont="1" applyBorder="1" applyAlignment="1">
      <alignment wrapText="1"/>
    </xf>
    <xf numFmtId="0" fontId="19" fillId="0" borderId="0" xfId="10" applyFont="1" applyBorder="1" applyAlignment="1">
      <alignment horizontal="center" vertical="center" wrapText="1"/>
    </xf>
    <xf numFmtId="0" fontId="18" fillId="0" borderId="0" xfId="0" applyFont="1" applyBorder="1"/>
    <xf numFmtId="0" fontId="20" fillId="0" borderId="0" xfId="10" applyFont="1" applyBorder="1"/>
    <xf numFmtId="0" fontId="21" fillId="0" borderId="0" xfId="10" applyFont="1" applyFill="1" applyBorder="1" applyAlignment="1">
      <alignment horizontal="left" wrapText="1"/>
    </xf>
    <xf numFmtId="6" fontId="20" fillId="0" borderId="0" xfId="10" applyNumberFormat="1" applyFont="1" applyFill="1" applyBorder="1" applyAlignment="1">
      <alignment horizontal="left" wrapText="1"/>
    </xf>
    <xf numFmtId="0" fontId="20" fillId="0" borderId="0" xfId="10" applyFont="1" applyFill="1" applyBorder="1" applyAlignment="1">
      <alignment horizontal="left" wrapText="1"/>
    </xf>
    <xf numFmtId="44" fontId="20" fillId="0" borderId="0" xfId="2" applyFont="1" applyFill="1" applyBorder="1" applyAlignment="1">
      <alignment horizontal="left" wrapText="1"/>
    </xf>
    <xf numFmtId="8" fontId="20" fillId="0" borderId="0" xfId="10" applyNumberFormat="1" applyFont="1" applyFill="1" applyBorder="1" applyAlignment="1">
      <alignment horizontal="left" wrapText="1"/>
    </xf>
    <xf numFmtId="0" fontId="20" fillId="0" borderId="0" xfId="10" applyFont="1" applyFill="1" applyBorder="1" applyAlignment="1">
      <alignment horizontal="left" wrapText="1" indent="2"/>
    </xf>
    <xf numFmtId="0" fontId="21" fillId="0" borderId="0" xfId="10" applyNumberFormat="1" applyFont="1" applyFill="1" applyBorder="1" applyAlignment="1">
      <alignment horizontal="center" wrapText="1" readingOrder="1"/>
    </xf>
    <xf numFmtId="0" fontId="21" fillId="0" borderId="36" xfId="10" applyNumberFormat="1" applyFont="1" applyFill="1" applyBorder="1" applyAlignment="1">
      <alignment horizontal="center" wrapText="1" readingOrder="1"/>
    </xf>
    <xf numFmtId="0" fontId="20" fillId="0" borderId="0" xfId="10" applyFont="1" applyBorder="1" applyAlignment="1">
      <alignment wrapText="1" readingOrder="1"/>
    </xf>
    <xf numFmtId="0" fontId="21" fillId="13" borderId="0" xfId="10" applyNumberFormat="1" applyFont="1" applyFill="1" applyBorder="1" applyAlignment="1">
      <alignment horizontal="center" wrapText="1" readingOrder="1"/>
    </xf>
    <xf numFmtId="0" fontId="21" fillId="13" borderId="36" xfId="10" applyNumberFormat="1" applyFont="1" applyFill="1" applyBorder="1" applyAlignment="1">
      <alignment horizontal="center" wrapText="1" readingOrder="1"/>
    </xf>
    <xf numFmtId="0" fontId="20" fillId="0" borderId="0" xfId="10" applyFont="1" applyBorder="1" applyAlignment="1"/>
    <xf numFmtId="0" fontId="22" fillId="0" borderId="37" xfId="10" applyNumberFormat="1" applyFont="1" applyFill="1" applyBorder="1" applyAlignment="1">
      <alignment wrapText="1"/>
    </xf>
    <xf numFmtId="44" fontId="18" fillId="0" borderId="38" xfId="2" applyFont="1" applyFill="1" applyBorder="1" applyAlignment="1"/>
    <xf numFmtId="0" fontId="20" fillId="0" borderId="0" xfId="10" applyFont="1" applyBorder="1" applyAlignment="1">
      <alignment textRotation="45" wrapText="1"/>
    </xf>
    <xf numFmtId="0" fontId="20" fillId="14" borderId="37" xfId="10" applyNumberFormat="1" applyFont="1" applyFill="1" applyBorder="1" applyAlignment="1">
      <alignment wrapText="1"/>
    </xf>
    <xf numFmtId="174" fontId="18" fillId="14" borderId="38" xfId="7" applyNumberFormat="1" applyFont="1" applyFill="1" applyBorder="1" applyAlignment="1">
      <alignment wrapText="1"/>
    </xf>
    <xf numFmtId="0" fontId="21" fillId="14" borderId="38" xfId="10" applyNumberFormat="1" applyFont="1" applyFill="1" applyBorder="1" applyAlignment="1">
      <alignment horizontal="center" textRotation="45" wrapText="1"/>
    </xf>
    <xf numFmtId="0" fontId="22" fillId="0" borderId="35" xfId="10" applyNumberFormat="1" applyFont="1" applyFill="1" applyBorder="1" applyAlignment="1">
      <alignment wrapText="1"/>
    </xf>
    <xf numFmtId="44" fontId="18" fillId="0" borderId="34" xfId="2" applyFont="1" applyFill="1" applyBorder="1" applyAlignment="1"/>
    <xf numFmtId="0" fontId="20" fillId="15" borderId="35" xfId="10" applyNumberFormat="1" applyFont="1" applyFill="1" applyBorder="1" applyAlignment="1">
      <alignment wrapText="1"/>
    </xf>
    <xf numFmtId="174" fontId="18" fillId="15" borderId="34" xfId="7" applyNumberFormat="1" applyFont="1" applyFill="1" applyBorder="1" applyAlignment="1">
      <alignment wrapText="1"/>
    </xf>
    <xf numFmtId="0" fontId="20" fillId="14" borderId="35" xfId="10" applyNumberFormat="1" applyFont="1" applyFill="1" applyBorder="1" applyAlignment="1">
      <alignment wrapText="1"/>
    </xf>
    <xf numFmtId="174" fontId="18" fillId="14" borderId="34" xfId="7" applyNumberFormat="1" applyFont="1" applyFill="1" applyBorder="1" applyAlignment="1">
      <alignment wrapText="1"/>
    </xf>
    <xf numFmtId="44" fontId="18" fillId="0" borderId="34" xfId="2" applyFont="1" applyFill="1" applyBorder="1" applyAlignment="1">
      <alignment horizontal="left" indent="1"/>
    </xf>
    <xf numFmtId="174" fontId="18" fillId="15" borderId="34" xfId="7" applyNumberFormat="1" applyFont="1" applyFill="1" applyBorder="1"/>
    <xf numFmtId="174" fontId="18" fillId="14" borderId="34" xfId="7" applyNumberFormat="1" applyFont="1" applyFill="1" applyBorder="1"/>
    <xf numFmtId="44" fontId="18" fillId="0" borderId="34" xfId="2" applyFont="1" applyFill="1" applyBorder="1" applyAlignment="1">
      <alignment horizontal="center"/>
    </xf>
    <xf numFmtId="174" fontId="20" fillId="14" borderId="34" xfId="7" applyNumberFormat="1" applyFont="1" applyFill="1" applyBorder="1" applyAlignment="1">
      <alignment wrapText="1"/>
    </xf>
    <xf numFmtId="0" fontId="20" fillId="15" borderId="34" xfId="10" applyNumberFormat="1" applyFont="1" applyFill="1" applyBorder="1" applyAlignment="1">
      <alignment wrapText="1"/>
    </xf>
    <xf numFmtId="0" fontId="20" fillId="14" borderId="34" xfId="10" applyNumberFormat="1" applyFont="1" applyFill="1" applyBorder="1" applyAlignment="1">
      <alignment wrapText="1"/>
    </xf>
    <xf numFmtId="0" fontId="23" fillId="0" borderId="0" xfId="10" applyFont="1" applyFill="1" applyBorder="1" applyAlignment="1">
      <alignment wrapText="1"/>
    </xf>
    <xf numFmtId="0" fontId="21" fillId="0" borderId="0" xfId="10" applyNumberFormat="1" applyFont="1" applyFill="1" applyBorder="1" applyAlignment="1">
      <alignment horizontal="center" vertical="center" wrapText="1" readingOrder="1"/>
    </xf>
    <xf numFmtId="0" fontId="21" fillId="13" borderId="0" xfId="10" applyNumberFormat="1" applyFont="1" applyFill="1" applyBorder="1" applyAlignment="1">
      <alignment horizontal="center" vertical="center" wrapText="1" readingOrder="1"/>
    </xf>
    <xf numFmtId="44" fontId="20" fillId="0" borderId="38" xfId="2" applyFont="1" applyFill="1" applyBorder="1" applyAlignment="1">
      <alignment wrapText="1"/>
    </xf>
    <xf numFmtId="44" fontId="20" fillId="0" borderId="34" xfId="2" applyFont="1" applyFill="1" applyBorder="1" applyAlignment="1">
      <alignment wrapText="1"/>
    </xf>
    <xf numFmtId="175" fontId="0" fillId="0" borderId="0" xfId="9" applyNumberFormat="1" applyFont="1"/>
    <xf numFmtId="175" fontId="0" fillId="16" borderId="0" xfId="9" applyNumberFormat="1" applyFont="1" applyFill="1"/>
    <xf numFmtId="0" fontId="9" fillId="2" borderId="0" xfId="0" applyFont="1" applyFill="1" applyAlignment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0" borderId="14" xfId="0" applyFont="1" applyBorder="1" applyAlignment="1" applyProtection="1">
      <alignment horizontal="center"/>
    </xf>
    <xf numFmtId="0" fontId="3" fillId="0" borderId="15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alignment horizontal="center" vertical="center" wrapText="1"/>
      <protection locked="0"/>
    </xf>
    <xf numFmtId="0" fontId="17" fillId="12" borderId="34" xfId="5" applyFont="1" applyFill="1" applyBorder="1" applyAlignment="1" applyProtection="1">
      <alignment horizontal="center"/>
    </xf>
    <xf numFmtId="0" fontId="18" fillId="12" borderId="35" xfId="5" applyFont="1" applyFill="1" applyBorder="1" applyAlignment="1" applyProtection="1">
      <alignment horizontal="center"/>
    </xf>
    <xf numFmtId="0" fontId="18" fillId="12" borderId="21" xfId="5" applyFont="1" applyFill="1" applyBorder="1" applyAlignment="1" applyProtection="1">
      <alignment horizontal="center"/>
    </xf>
    <xf numFmtId="44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right"/>
    </xf>
  </cellXfs>
  <cellStyles count="11">
    <cellStyle name="Comma" xfId="1" builtinId="3"/>
    <cellStyle name="Currency" xfId="2" builtinId="4"/>
    <cellStyle name="Currency 2" xfId="7"/>
    <cellStyle name="Currency 3" xfId="6"/>
    <cellStyle name="Normal" xfId="0" builtinId="0"/>
    <cellStyle name="Normal 2" xfId="8"/>
    <cellStyle name="Normal 2 2" xfId="10"/>
    <cellStyle name="Normal 3" xfId="3"/>
    <cellStyle name="Normal 4" xfId="5"/>
    <cellStyle name="Percent" xfId="9" builtinId="5"/>
    <cellStyle name="Percent 3" xfId="4"/>
  </cellStyles>
  <dxfs count="363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auto="1"/>
      </font>
      <fill>
        <patternFill>
          <bgColor theme="1" tint="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alignment horizontal="general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1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  <alignment horizontal="left" vertical="bottom" textRotation="0" wrapTex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  <alignment horizontal="left" vertical="bottom" textRotation="0" wrapText="1" justifyLastLine="0" shrinkToFit="0" readingOrder="0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8" tint="0.39997558519241921"/>
        </top>
      </border>
    </dxf>
    <dxf>
      <border outline="0">
        <left style="thin">
          <color theme="8" tint="0.39997558519241921"/>
        </left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</dxf>
    <dxf>
      <border outline="0">
        <left style="thin">
          <color theme="8" tint="0.39997558519241921"/>
        </left>
        <right style="thin">
          <color theme="8" tint="0.39997558519241921"/>
        </right>
        <top style="thin">
          <color theme="8" tint="0.39997558519241921"/>
        </top>
        <bottom style="thin">
          <color theme="8" tint="0.3999755851924192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  <border diagonalUp="0" diagonalDown="0" outline="0">
        <left style="thin">
          <color theme="8" tint="0.39997558519241921"/>
        </left>
        <right/>
        <top style="thin">
          <color theme="8" tint="0.3999755851924192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73" formatCode="_(* #,##0_);_(* \(#,##0\);_(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8" formatCode="0.000000000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vertical="top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protection locked="1" hidden="0"/>
    </dxf>
    <dxf>
      <font>
        <sz val="11"/>
        <color theme="1"/>
        <name val="Calibri"/>
        <family val="2"/>
        <scheme val="minor"/>
      </font>
      <numFmt numFmtId="1" formatCode="0"/>
      <protection locked="1" hidden="0"/>
    </dxf>
    <dxf>
      <numFmt numFmtId="170" formatCode="0.000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8" formatCode="0.00000000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1</xdr:row>
      <xdr:rowOff>9525</xdr:rowOff>
    </xdr:from>
    <xdr:to>
      <xdr:col>8</xdr:col>
      <xdr:colOff>2171700</xdr:colOff>
      <xdr:row>7</xdr:row>
      <xdr:rowOff>314324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1D1E367-DC40-49D2-9D6A-03F0BDE0EFF3}"/>
            </a:ext>
          </a:extLst>
        </xdr:cNvPr>
        <xdr:cNvGrpSpPr/>
      </xdr:nvGrpSpPr>
      <xdr:grpSpPr>
        <a:xfrm>
          <a:off x="8372476" y="171450"/>
          <a:ext cx="3000374" cy="2133599"/>
          <a:chOff x="8372475" y="190500"/>
          <a:chExt cx="3638550" cy="2241065"/>
        </a:xfrm>
      </xdr:grpSpPr>
      <xdr:sp macro="[0]!clearAllEnvs" textlink="">
        <xdr:nvSpPr>
          <xdr:cNvPr id="2" name="Rectangle: Beveled 1">
            <a:extLst>
              <a:ext uri="{FF2B5EF4-FFF2-40B4-BE49-F238E27FC236}">
                <a16:creationId xmlns:a16="http://schemas.microsoft.com/office/drawing/2014/main" id="{4CAD63A5-6DA1-4DAD-ADED-24F0A9BD7E10}"/>
              </a:ext>
            </a:extLst>
          </xdr:cNvPr>
          <xdr:cNvSpPr/>
        </xdr:nvSpPr>
        <xdr:spPr>
          <a:xfrm>
            <a:off x="8372475" y="190500"/>
            <a:ext cx="363855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 All</a:t>
            </a:r>
          </a:p>
        </xdr:txBody>
      </xdr:sp>
      <xdr:sp macro="[0]!clearOption1Envs" textlink="">
        <xdr:nvSpPr>
          <xdr:cNvPr id="3" name="Rectangle: Beveled 2">
            <a:extLst>
              <a:ext uri="{FF2B5EF4-FFF2-40B4-BE49-F238E27FC236}">
                <a16:creationId xmlns:a16="http://schemas.microsoft.com/office/drawing/2014/main" id="{5217F936-0A0F-419D-835D-E46E5859A6A7}"/>
              </a:ext>
            </a:extLst>
          </xdr:cNvPr>
          <xdr:cNvSpPr/>
        </xdr:nvSpPr>
        <xdr:spPr>
          <a:xfrm>
            <a:off x="8372475" y="564048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1</a:t>
            </a:r>
            <a:endParaRPr lang="en-US" sz="1400" b="1"/>
          </a:p>
        </xdr:txBody>
      </xdr:sp>
      <xdr:sp macro="[0]!clearOption2Envs" textlink="">
        <xdr:nvSpPr>
          <xdr:cNvPr id="4" name="Rectangle: Beveled 3">
            <a:extLst>
              <a:ext uri="{FF2B5EF4-FFF2-40B4-BE49-F238E27FC236}">
                <a16:creationId xmlns:a16="http://schemas.microsoft.com/office/drawing/2014/main" id="{40CF59FA-B850-4D8D-8F04-E6A4BD4CB0FF}"/>
              </a:ext>
            </a:extLst>
          </xdr:cNvPr>
          <xdr:cNvSpPr/>
        </xdr:nvSpPr>
        <xdr:spPr>
          <a:xfrm>
            <a:off x="8372475" y="935934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2</a:t>
            </a:r>
            <a:endParaRPr lang="en-US" sz="1400" b="1"/>
          </a:p>
        </xdr:txBody>
      </xdr:sp>
      <xdr:sp macro="[0]!clearOption3Envs" textlink="">
        <xdr:nvSpPr>
          <xdr:cNvPr id="5" name="Rectangle: Beveled 4">
            <a:extLst>
              <a:ext uri="{FF2B5EF4-FFF2-40B4-BE49-F238E27FC236}">
                <a16:creationId xmlns:a16="http://schemas.microsoft.com/office/drawing/2014/main" id="{A50066F4-F2FE-4A34-A3C0-A92DAFE1AC32}"/>
              </a:ext>
            </a:extLst>
          </xdr:cNvPr>
          <xdr:cNvSpPr/>
        </xdr:nvSpPr>
        <xdr:spPr>
          <a:xfrm>
            <a:off x="8372475" y="1313703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3</a:t>
            </a:r>
            <a:endParaRPr lang="en-US" sz="1400" b="1"/>
          </a:p>
        </xdr:txBody>
      </xdr:sp>
      <xdr:sp macro="[0]!clearOption4Envs" textlink="">
        <xdr:nvSpPr>
          <xdr:cNvPr id="6" name="Rectangle: Beveled 5">
            <a:extLst>
              <a:ext uri="{FF2B5EF4-FFF2-40B4-BE49-F238E27FC236}">
                <a16:creationId xmlns:a16="http://schemas.microsoft.com/office/drawing/2014/main" id="{47427B17-3CC6-469A-BEE8-04CDFF52F3DA}"/>
              </a:ext>
            </a:extLst>
          </xdr:cNvPr>
          <xdr:cNvSpPr/>
        </xdr:nvSpPr>
        <xdr:spPr>
          <a:xfrm>
            <a:off x="8372475" y="1689793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4</a:t>
            </a:r>
            <a:endParaRPr lang="en-US" sz="1400" b="1"/>
          </a:p>
        </xdr:txBody>
      </xdr:sp>
      <xdr:sp macro="[0]!clearOption5Envs" textlink="">
        <xdr:nvSpPr>
          <xdr:cNvPr id="7" name="Rectangle: Beveled 6">
            <a:extLst>
              <a:ext uri="{FF2B5EF4-FFF2-40B4-BE49-F238E27FC236}">
                <a16:creationId xmlns:a16="http://schemas.microsoft.com/office/drawing/2014/main" id="{8B2455C2-1CFE-4B39-8929-053AB6FA3A46}"/>
              </a:ext>
            </a:extLst>
          </xdr:cNvPr>
          <xdr:cNvSpPr/>
        </xdr:nvSpPr>
        <xdr:spPr>
          <a:xfrm>
            <a:off x="8372475" y="2065805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5</a:t>
            </a:r>
            <a:endParaRPr lang="en-US" sz="1400" b="1"/>
          </a:p>
        </xdr:txBody>
      </xdr:sp>
      <xdr:sp macro="[0]!populate10Envs" textlink="">
        <xdr:nvSpPr>
          <xdr:cNvPr id="8" name="Rectangle: Beveled 7">
            <a:extLst>
              <a:ext uri="{FF2B5EF4-FFF2-40B4-BE49-F238E27FC236}">
                <a16:creationId xmlns:a16="http://schemas.microsoft.com/office/drawing/2014/main" id="{86CDBC32-0F49-45BF-8254-95CCF069750E}"/>
              </a:ext>
            </a:extLst>
          </xdr:cNvPr>
          <xdr:cNvSpPr/>
        </xdr:nvSpPr>
        <xdr:spPr>
          <a:xfrm>
            <a:off x="10067925" y="565729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#10</a:t>
            </a:r>
            <a:endParaRPr lang="en-US" sz="1400" b="1"/>
          </a:p>
        </xdr:txBody>
      </xdr:sp>
      <xdr:sp macro="[0]!populate6x9Envs" textlink="">
        <xdr:nvSpPr>
          <xdr:cNvPr id="9" name="Rectangle: Beveled 8">
            <a:extLst>
              <a:ext uri="{FF2B5EF4-FFF2-40B4-BE49-F238E27FC236}">
                <a16:creationId xmlns:a16="http://schemas.microsoft.com/office/drawing/2014/main" id="{AE574C8F-2870-45CE-8907-D32E7DA760AC}"/>
              </a:ext>
            </a:extLst>
          </xdr:cNvPr>
          <xdr:cNvSpPr/>
        </xdr:nvSpPr>
        <xdr:spPr>
          <a:xfrm>
            <a:off x="10067925" y="938456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6 x 9</a:t>
            </a:r>
          </a:p>
        </xdr:txBody>
      </xdr:sp>
      <xdr:sp macro="[0]!populateA7Envs" textlink="">
        <xdr:nvSpPr>
          <xdr:cNvPr id="10" name="Rectangle: Beveled 9">
            <a:extLst>
              <a:ext uri="{FF2B5EF4-FFF2-40B4-BE49-F238E27FC236}">
                <a16:creationId xmlns:a16="http://schemas.microsoft.com/office/drawing/2014/main" id="{3DE7A62E-0969-424C-9A45-264848E43102}"/>
              </a:ext>
            </a:extLst>
          </xdr:cNvPr>
          <xdr:cNvSpPr/>
        </xdr:nvSpPr>
        <xdr:spPr>
          <a:xfrm>
            <a:off x="10067925" y="1312022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A7</a:t>
            </a:r>
          </a:p>
        </xdr:txBody>
      </xdr:sp>
      <xdr:sp macro="[0]!populateGeneralEnvs" textlink="">
        <xdr:nvSpPr>
          <xdr:cNvPr id="11" name="Rectangle: Beveled 10">
            <a:extLst>
              <a:ext uri="{FF2B5EF4-FFF2-40B4-BE49-F238E27FC236}">
                <a16:creationId xmlns:a16="http://schemas.microsoft.com/office/drawing/2014/main" id="{5C304628-F9A7-474A-B397-147576574FEE}"/>
              </a:ext>
            </a:extLst>
          </xdr:cNvPr>
          <xdr:cNvSpPr/>
        </xdr:nvSpPr>
        <xdr:spPr>
          <a:xfrm>
            <a:off x="10067925" y="1689792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General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8966</xdr:colOff>
      <xdr:row>1</xdr:row>
      <xdr:rowOff>12888</xdr:rowOff>
    </xdr:from>
    <xdr:to>
      <xdr:col>8</xdr:col>
      <xdr:colOff>2209801</xdr:colOff>
      <xdr:row>7</xdr:row>
      <xdr:rowOff>333376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32A8F2D1-7C03-46A1-9F61-938AF4D72B6D}"/>
            </a:ext>
          </a:extLst>
        </xdr:cNvPr>
        <xdr:cNvGrpSpPr/>
      </xdr:nvGrpSpPr>
      <xdr:grpSpPr>
        <a:xfrm>
          <a:off x="10715066" y="203388"/>
          <a:ext cx="2934260" cy="2111188"/>
          <a:chOff x="10715065" y="212912"/>
          <a:chExt cx="3372409" cy="2233557"/>
        </a:xfrm>
      </xdr:grpSpPr>
      <xdr:sp macro="[0]!clearAll" textlink="">
        <xdr:nvSpPr>
          <xdr:cNvPr id="2" name="Rectangle: Beveled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10715065" y="212912"/>
            <a:ext cx="3372409" cy="368113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 All</a:t>
            </a:r>
          </a:p>
        </xdr:txBody>
      </xdr:sp>
      <xdr:sp macro="[0]!clearOption4" textlink="">
        <xdr:nvSpPr>
          <xdr:cNvPr id="6" name="Rectangle: Beveled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0715066" y="170419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4</a:t>
            </a:r>
            <a:endParaRPr lang="en-US" sz="1400" b="1"/>
          </a:p>
        </xdr:txBody>
      </xdr:sp>
      <xdr:sp macro="[0]!clearOption1" textlink="">
        <xdr:nvSpPr>
          <xdr:cNvPr id="3" name="Rectangle: Beveled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0715066" y="59475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1</a:t>
            </a:r>
            <a:endParaRPr lang="en-US" sz="1400" b="1"/>
          </a:p>
        </xdr:txBody>
      </xdr:sp>
      <xdr:sp macro="[0]!clearOption2" textlink="">
        <xdr:nvSpPr>
          <xdr:cNvPr id="4" name="Rectangle: Beveled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715066" y="966731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2</a:t>
            </a:r>
            <a:endParaRPr lang="en-US" sz="1400" b="1"/>
          </a:p>
        </xdr:txBody>
      </xdr:sp>
      <xdr:sp macro="[0]!clearOption3" textlink="">
        <xdr:nvSpPr>
          <xdr:cNvPr id="5" name="Rectangle: Beveled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0715066" y="134123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3</a:t>
            </a:r>
            <a:endParaRPr lang="en-US" sz="1400" b="1"/>
          </a:p>
        </xdr:txBody>
      </xdr:sp>
      <xdr:sp macro="[0]!clearOption5" textlink="">
        <xdr:nvSpPr>
          <xdr:cNvPr id="7" name="Rectangle: Bevele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0715066" y="2080708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5</a:t>
            </a:r>
            <a:endParaRPr lang="en-US" sz="1400" b="1"/>
          </a:p>
        </xdr:txBody>
      </xdr:sp>
      <xdr:sp macro="[0]!populate10" textlink="">
        <xdr:nvSpPr>
          <xdr:cNvPr id="8" name="Rectangle: Bevele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2404912" y="586908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#10</a:t>
            </a:r>
            <a:endParaRPr lang="en-US" sz="1400" b="1"/>
          </a:p>
        </xdr:txBody>
      </xdr:sp>
      <xdr:sp macro="[0]!populate6x95" textlink="">
        <xdr:nvSpPr>
          <xdr:cNvPr id="9" name="Rectangle: Beveled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2404912" y="958887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6 x 9.5</a:t>
            </a:r>
          </a:p>
        </xdr:txBody>
      </xdr:sp>
      <xdr:sp macro="[0]!populateA7" textlink="">
        <xdr:nvSpPr>
          <xdr:cNvPr id="10" name="Rectangle: Beveled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404912" y="1337870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A7</a:t>
            </a:r>
          </a:p>
        </xdr:txBody>
      </xdr:sp>
      <xdr:sp macro="[0]!populatePostcards" textlink="">
        <xdr:nvSpPr>
          <xdr:cNvPr id="11" name="Rectangle: Beveled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404912" y="1715733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PC</a:t>
            </a:r>
          </a:p>
        </xdr:txBody>
      </xdr:sp>
      <xdr:sp macro="[0]!populateDIR" textlink="">
        <xdr:nvSpPr>
          <xdr:cNvPr id="12" name="Rectangle: Beveled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2404912" y="2080709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DIR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VEMAPLES/Parker's%20Files/Paper/House%20paper%20pricing_updated%208.2.1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icing%20working%20files/Prices%202.0%20June%202018%20working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eresag\Desktop\pricing-1903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use Papers"/>
      <sheetName val="Envelope Prices"/>
      <sheetName val="LM Paper"/>
      <sheetName val="CP Paper"/>
    </sheetNames>
    <sheetDataSet>
      <sheetData sheetId="0">
        <row r="1">
          <cell r="A1" t="str">
            <v>Paper Weight</v>
          </cell>
        </row>
        <row r="3">
          <cell r="H3"/>
          <cell r="I3"/>
          <cell r="J3"/>
          <cell r="K3"/>
          <cell r="L3" t="str">
            <v>20# white copy paper</v>
          </cell>
          <cell r="M3"/>
          <cell r="N3">
            <v>7.04</v>
          </cell>
          <cell r="O3"/>
          <cell r="P3"/>
          <cell r="Q3"/>
          <cell r="R3"/>
          <cell r="S3"/>
          <cell r="T3"/>
          <cell r="U3"/>
          <cell r="V3"/>
        </row>
        <row r="4">
          <cell r="H4" t="str">
            <v>x</v>
          </cell>
          <cell r="I4" t="str">
            <v>x</v>
          </cell>
          <cell r="J4"/>
          <cell r="K4"/>
          <cell r="L4" t="str">
            <v>60# Suzano Report white</v>
          </cell>
          <cell r="M4"/>
          <cell r="N4">
            <v>39.4</v>
          </cell>
          <cell r="O4"/>
          <cell r="P4"/>
          <cell r="Q4"/>
          <cell r="R4"/>
          <cell r="S4">
            <v>65.7</v>
          </cell>
          <cell r="T4"/>
          <cell r="U4"/>
          <cell r="V4"/>
        </row>
        <row r="5">
          <cell r="H5" t="str">
            <v>x</v>
          </cell>
          <cell r="I5"/>
          <cell r="J5"/>
          <cell r="K5"/>
          <cell r="L5" t="str">
            <v>8.5 x 11 - 3.5" perf, 60# white</v>
          </cell>
          <cell r="M5"/>
          <cell r="N5"/>
          <cell r="O5">
            <v>17.59</v>
          </cell>
          <cell r="P5"/>
          <cell r="Q5"/>
          <cell r="R5"/>
          <cell r="S5"/>
          <cell r="T5"/>
          <cell r="U5"/>
          <cell r="V5"/>
        </row>
        <row r="6">
          <cell r="H6"/>
          <cell r="I6"/>
          <cell r="J6"/>
          <cell r="K6"/>
          <cell r="L6" t="str">
            <v>8.5x14 60# Accent Opaque white</v>
          </cell>
          <cell r="M6"/>
          <cell r="N6"/>
          <cell r="O6"/>
          <cell r="P6">
            <v>121.5</v>
          </cell>
          <cell r="Q6"/>
          <cell r="R6"/>
          <cell r="S6"/>
          <cell r="T6"/>
          <cell r="U6"/>
          <cell r="V6"/>
        </row>
        <row r="7">
          <cell r="H7"/>
          <cell r="I7"/>
          <cell r="J7"/>
          <cell r="K7"/>
          <cell r="L7" t="str">
            <v>8.5 x 14 - 3.5" perf, 60# white</v>
          </cell>
          <cell r="M7"/>
          <cell r="N7"/>
          <cell r="O7"/>
          <cell r="P7"/>
          <cell r="Q7">
            <v>23.74</v>
          </cell>
          <cell r="R7"/>
          <cell r="S7"/>
          <cell r="T7"/>
          <cell r="U7"/>
          <cell r="V7"/>
        </row>
        <row r="8">
          <cell r="H8"/>
          <cell r="I8" t="str">
            <v>x</v>
          </cell>
          <cell r="J8"/>
          <cell r="K8"/>
          <cell r="L8" t="str">
            <v>60# Springhill opaque colors</v>
          </cell>
          <cell r="M8"/>
          <cell r="N8"/>
          <cell r="O8"/>
          <cell r="P8"/>
          <cell r="Q8"/>
          <cell r="R8"/>
          <cell r="S8">
            <v>37.85</v>
          </cell>
          <cell r="T8"/>
          <cell r="U8"/>
          <cell r="V8"/>
        </row>
        <row r="9">
          <cell r="H9"/>
          <cell r="I9" t="str">
            <v>x</v>
          </cell>
          <cell r="J9"/>
          <cell r="K9"/>
          <cell r="L9" t="str">
            <v>70# Springhill opaque colors</v>
          </cell>
          <cell r="M9"/>
          <cell r="N9"/>
          <cell r="O9"/>
          <cell r="P9"/>
          <cell r="Q9"/>
          <cell r="R9"/>
          <cell r="S9">
            <v>33.75</v>
          </cell>
          <cell r="T9"/>
          <cell r="U9"/>
          <cell r="V9"/>
        </row>
        <row r="10">
          <cell r="H10"/>
          <cell r="I10" t="str">
            <v>x</v>
          </cell>
          <cell r="J10" t="str">
            <v>x</v>
          </cell>
          <cell r="K10" t="str">
            <v>x</v>
          </cell>
          <cell r="L10" t="str">
            <v>70# Finch Digital Opaque white</v>
          </cell>
          <cell r="M10"/>
          <cell r="N10"/>
          <cell r="O10"/>
          <cell r="P10"/>
          <cell r="Q10"/>
          <cell r="R10"/>
          <cell r="S10">
            <v>27.24</v>
          </cell>
          <cell r="T10"/>
          <cell r="U10">
            <v>34.32</v>
          </cell>
          <cell r="V10">
            <v>40.090000000000003</v>
          </cell>
        </row>
        <row r="11">
          <cell r="H11"/>
          <cell r="I11" t="str">
            <v>x</v>
          </cell>
          <cell r="J11" t="str">
            <v>x</v>
          </cell>
          <cell r="K11"/>
          <cell r="L11" t="str">
            <v>70# Roland 30% Recycle white</v>
          </cell>
          <cell r="M11"/>
          <cell r="N11"/>
          <cell r="O11"/>
          <cell r="P11"/>
          <cell r="Q11"/>
          <cell r="R11"/>
          <cell r="S11">
            <v>77.25</v>
          </cell>
          <cell r="T11"/>
          <cell r="U11">
            <v>55.7</v>
          </cell>
          <cell r="V11"/>
        </row>
        <row r="12">
          <cell r="H12"/>
          <cell r="I12"/>
          <cell r="J12" t="str">
            <v>x</v>
          </cell>
          <cell r="K12" t="str">
            <v>x</v>
          </cell>
          <cell r="L12" t="str">
            <v>70# Finch Fine ID</v>
          </cell>
          <cell r="M12"/>
          <cell r="N12"/>
          <cell r="O12"/>
          <cell r="P12"/>
          <cell r="Q12"/>
          <cell r="R12"/>
          <cell r="S12"/>
          <cell r="T12"/>
          <cell r="U12">
            <v>45.67</v>
          </cell>
          <cell r="V12">
            <v>54.6</v>
          </cell>
        </row>
        <row r="13">
          <cell r="H13"/>
          <cell r="I13" t="str">
            <v>x</v>
          </cell>
          <cell r="J13" t="str">
            <v>x</v>
          </cell>
          <cell r="K13"/>
          <cell r="L13" t="str">
            <v>70# Cougar Opaque white text</v>
          </cell>
          <cell r="M13"/>
          <cell r="N13"/>
          <cell r="O13"/>
          <cell r="P13"/>
          <cell r="Q13"/>
          <cell r="R13"/>
          <cell r="S13">
            <v>31.85</v>
          </cell>
          <cell r="T13"/>
          <cell r="U13">
            <v>36.799999999999997</v>
          </cell>
          <cell r="V13"/>
        </row>
        <row r="14">
          <cell r="H14"/>
          <cell r="I14" t="str">
            <v>x</v>
          </cell>
          <cell r="J14" t="str">
            <v>x</v>
          </cell>
          <cell r="K14"/>
          <cell r="L14" t="str">
            <v>70# Mohawk 100% recycle white</v>
          </cell>
          <cell r="M14"/>
          <cell r="N14"/>
          <cell r="O14"/>
          <cell r="P14"/>
          <cell r="Q14"/>
          <cell r="R14"/>
          <cell r="S14">
            <v>40.03</v>
          </cell>
          <cell r="T14"/>
          <cell r="U14">
            <v>46.24</v>
          </cell>
          <cell r="V14"/>
        </row>
        <row r="15">
          <cell r="H15"/>
          <cell r="I15" t="str">
            <v>x</v>
          </cell>
          <cell r="J15"/>
          <cell r="K15"/>
          <cell r="L15" t="str">
            <v>28# Hammermill Color Copy smooth text</v>
          </cell>
          <cell r="M15"/>
          <cell r="N15"/>
          <cell r="O15"/>
          <cell r="P15"/>
          <cell r="Q15"/>
          <cell r="R15"/>
          <cell r="S15">
            <v>31.65</v>
          </cell>
          <cell r="T15"/>
          <cell r="U15"/>
          <cell r="V15"/>
        </row>
        <row r="16">
          <cell r="H16"/>
          <cell r="I16" t="str">
            <v>x</v>
          </cell>
          <cell r="J16" t="str">
            <v>x</v>
          </cell>
          <cell r="K16"/>
          <cell r="L16" t="str">
            <v>28# Finch Fine Color Copy</v>
          </cell>
          <cell r="M16"/>
          <cell r="N16"/>
          <cell r="O16"/>
          <cell r="P16"/>
          <cell r="Q16"/>
          <cell r="R16"/>
          <cell r="S16">
            <v>36.33</v>
          </cell>
          <cell r="T16"/>
          <cell r="U16">
            <v>41.95</v>
          </cell>
          <cell r="V16"/>
        </row>
        <row r="17">
          <cell r="H17"/>
          <cell r="I17"/>
          <cell r="J17"/>
          <cell r="K17"/>
          <cell r="L17" t="str">
            <v>28# Classic Crest Natural white text</v>
          </cell>
          <cell r="M17"/>
          <cell r="N17"/>
          <cell r="O17"/>
          <cell r="P17"/>
          <cell r="Q17"/>
          <cell r="R17"/>
          <cell r="S17">
            <v>84.9</v>
          </cell>
          <cell r="T17"/>
          <cell r="U17"/>
          <cell r="V17"/>
        </row>
        <row r="18">
          <cell r="H18" t="str">
            <v>x</v>
          </cell>
          <cell r="I18"/>
          <cell r="J18"/>
          <cell r="K18"/>
          <cell r="L18" t="str">
            <v>28# Classic Crest Avon Billiant white</v>
          </cell>
          <cell r="M18"/>
          <cell r="N18">
            <v>30.85</v>
          </cell>
          <cell r="O18"/>
          <cell r="P18"/>
          <cell r="Q18"/>
          <cell r="R18"/>
          <cell r="S18"/>
          <cell r="T18"/>
          <cell r="U18"/>
          <cell r="V18"/>
        </row>
        <row r="19">
          <cell r="H19"/>
          <cell r="I19"/>
          <cell r="J19" t="str">
            <v>x</v>
          </cell>
          <cell r="K19"/>
          <cell r="L19" t="str">
            <v>28# Classic Crest Solar white</v>
          </cell>
          <cell r="M19"/>
          <cell r="N19"/>
          <cell r="O19"/>
          <cell r="P19"/>
          <cell r="Q19"/>
          <cell r="R19"/>
          <cell r="S19">
            <v>40.85</v>
          </cell>
          <cell r="T19"/>
          <cell r="U19">
            <v>40.85</v>
          </cell>
          <cell r="V19"/>
        </row>
        <row r="20">
          <cell r="H20"/>
          <cell r="I20"/>
          <cell r="J20"/>
          <cell r="K20"/>
          <cell r="L20" t="str">
            <v>80# Xpri Digital Velvet text</v>
          </cell>
          <cell r="M20"/>
          <cell r="N20"/>
          <cell r="O20"/>
          <cell r="P20"/>
          <cell r="Q20"/>
          <cell r="R20"/>
          <cell r="S20"/>
          <cell r="T20"/>
          <cell r="U20">
            <v>69.599999999999994</v>
          </cell>
          <cell r="V20"/>
        </row>
        <row r="21">
          <cell r="H21"/>
          <cell r="I21" t="str">
            <v>x</v>
          </cell>
          <cell r="J21" t="str">
            <v>x</v>
          </cell>
          <cell r="K21"/>
          <cell r="L21" t="str">
            <v>32# Mohawk bright white</v>
          </cell>
          <cell r="M21"/>
          <cell r="N21"/>
          <cell r="O21"/>
          <cell r="P21"/>
          <cell r="Q21"/>
          <cell r="R21"/>
          <cell r="S21">
            <v>47.86</v>
          </cell>
          <cell r="T21"/>
          <cell r="U21">
            <v>65.5</v>
          </cell>
          <cell r="V21"/>
        </row>
        <row r="22">
          <cell r="H22"/>
          <cell r="I22" t="str">
            <v>x</v>
          </cell>
          <cell r="J22" t="str">
            <v>x</v>
          </cell>
          <cell r="K22" t="str">
            <v>x</v>
          </cell>
          <cell r="L22" t="str">
            <v>80# Sterling gloss text</v>
          </cell>
          <cell r="M22"/>
          <cell r="N22"/>
          <cell r="O22"/>
          <cell r="P22"/>
          <cell r="Q22"/>
          <cell r="R22"/>
          <cell r="S22">
            <v>33.43</v>
          </cell>
          <cell r="T22"/>
          <cell r="U22">
            <v>42.46</v>
          </cell>
          <cell r="V22">
            <v>49.53</v>
          </cell>
        </row>
        <row r="23">
          <cell r="H23"/>
          <cell r="J23" t="str">
            <v>x</v>
          </cell>
          <cell r="L23" t="str">
            <v>100# Sterling gloss text</v>
          </cell>
          <cell r="M23"/>
          <cell r="N23"/>
          <cell r="O23"/>
          <cell r="P23"/>
          <cell r="Q23"/>
          <cell r="R23"/>
          <cell r="S23"/>
          <cell r="T23"/>
          <cell r="U23">
            <v>53.07</v>
          </cell>
          <cell r="V23"/>
        </row>
        <row r="24">
          <cell r="H24"/>
          <cell r="I24"/>
          <cell r="J24" t="str">
            <v>x</v>
          </cell>
          <cell r="K24"/>
          <cell r="L24" t="str">
            <v>100# Finch Digital Opaque</v>
          </cell>
          <cell r="M24"/>
          <cell r="N24"/>
          <cell r="O24"/>
          <cell r="P24"/>
          <cell r="Q24"/>
          <cell r="R24"/>
          <cell r="S24"/>
          <cell r="T24"/>
          <cell r="U24">
            <v>65.37</v>
          </cell>
          <cell r="V24"/>
        </row>
        <row r="25">
          <cell r="H25"/>
          <cell r="I25"/>
          <cell r="J25" t="str">
            <v>x</v>
          </cell>
          <cell r="K25"/>
          <cell r="L25" t="str">
            <v>100# Finch Fine ID</v>
          </cell>
          <cell r="M25"/>
          <cell r="N25"/>
          <cell r="O25"/>
          <cell r="P25"/>
          <cell r="Q25"/>
          <cell r="R25"/>
          <cell r="S25"/>
          <cell r="T25"/>
          <cell r="U25">
            <v>65.25</v>
          </cell>
          <cell r="V25"/>
        </row>
        <row r="26"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</row>
        <row r="27">
          <cell r="H27"/>
          <cell r="I27" t="str">
            <v>x</v>
          </cell>
          <cell r="J27"/>
          <cell r="K27"/>
          <cell r="L27" t="str">
            <v>67# Springhill Vellum  Bristol white</v>
          </cell>
          <cell r="M27"/>
          <cell r="N27"/>
          <cell r="O27"/>
          <cell r="P27"/>
          <cell r="Q27"/>
          <cell r="R27"/>
          <cell r="S27">
            <v>31.75</v>
          </cell>
          <cell r="T27"/>
          <cell r="U27"/>
          <cell r="V27"/>
        </row>
        <row r="28">
          <cell r="H28"/>
          <cell r="I28" t="str">
            <v>x</v>
          </cell>
          <cell r="J28"/>
          <cell r="K28"/>
          <cell r="L28" t="str">
            <v>67# Springhill Vellum Bristol colors</v>
          </cell>
          <cell r="M28"/>
          <cell r="N28"/>
          <cell r="O28"/>
          <cell r="P28"/>
          <cell r="Q28"/>
          <cell r="R28"/>
          <cell r="S28">
            <v>51.75</v>
          </cell>
          <cell r="T28"/>
          <cell r="U28"/>
          <cell r="V28"/>
        </row>
        <row r="29">
          <cell r="H29"/>
          <cell r="I29" t="str">
            <v>x</v>
          </cell>
          <cell r="J29" t="str">
            <v>x</v>
          </cell>
          <cell r="K29"/>
          <cell r="L29" t="str">
            <v>80# Accent Opaque smooth cover</v>
          </cell>
          <cell r="M29"/>
          <cell r="N29"/>
          <cell r="O29"/>
          <cell r="P29"/>
          <cell r="Q29"/>
          <cell r="R29"/>
          <cell r="S29">
            <v>43.05</v>
          </cell>
          <cell r="T29"/>
          <cell r="U29">
            <v>118.1</v>
          </cell>
          <cell r="V29"/>
        </row>
        <row r="30">
          <cell r="H30"/>
          <cell r="I30" t="str">
            <v>x</v>
          </cell>
          <cell r="J30" t="str">
            <v>x</v>
          </cell>
          <cell r="K30" t="str">
            <v>x</v>
          </cell>
          <cell r="L30" t="str">
            <v>80# Accent Opaque Super Smooth</v>
          </cell>
          <cell r="M30"/>
          <cell r="N30"/>
          <cell r="O30"/>
          <cell r="P30"/>
          <cell r="Q30"/>
          <cell r="R30"/>
          <cell r="S30">
            <v>118.1</v>
          </cell>
          <cell r="T30"/>
          <cell r="U30">
            <v>142.30000000000001</v>
          </cell>
          <cell r="V30">
            <v>0</v>
          </cell>
        </row>
        <row r="31">
          <cell r="H31"/>
          <cell r="I31"/>
          <cell r="J31" t="str">
            <v>x</v>
          </cell>
          <cell r="K31"/>
          <cell r="L31" t="str">
            <v>60# Hammermill Color Copy cover</v>
          </cell>
          <cell r="M31"/>
          <cell r="N31"/>
          <cell r="O31"/>
          <cell r="P31"/>
          <cell r="Q31"/>
          <cell r="R31"/>
          <cell r="S31"/>
          <cell r="T31"/>
          <cell r="U31">
            <v>47</v>
          </cell>
          <cell r="V31"/>
        </row>
        <row r="32">
          <cell r="H32"/>
          <cell r="I32"/>
          <cell r="J32"/>
          <cell r="K32"/>
          <cell r="L32" t="str">
            <v>80# Classic Crest Natural White cover</v>
          </cell>
          <cell r="M32"/>
          <cell r="N32"/>
          <cell r="O32"/>
          <cell r="P32"/>
          <cell r="Q32"/>
          <cell r="R32"/>
          <cell r="S32"/>
          <cell r="T32"/>
          <cell r="U32">
            <v>40.75</v>
          </cell>
          <cell r="V32"/>
        </row>
        <row r="33">
          <cell r="H33"/>
          <cell r="I33"/>
          <cell r="J33" t="str">
            <v>x</v>
          </cell>
          <cell r="K33" t="str">
            <v>x</v>
          </cell>
          <cell r="L33" t="str">
            <v xml:space="preserve">80# Sterling gloss cover </v>
          </cell>
          <cell r="M33"/>
          <cell r="N33"/>
          <cell r="O33"/>
          <cell r="P33"/>
          <cell r="Q33"/>
          <cell r="R33"/>
          <cell r="S33"/>
          <cell r="T33"/>
          <cell r="U33">
            <v>68.94</v>
          </cell>
          <cell r="V33">
            <v>83.96</v>
          </cell>
        </row>
        <row r="34">
          <cell r="H34"/>
          <cell r="I34"/>
          <cell r="J34" t="str">
            <v>x</v>
          </cell>
          <cell r="K34" t="str">
            <v>x</v>
          </cell>
          <cell r="L34" t="str">
            <v xml:space="preserve">100# Sterling gloss cover </v>
          </cell>
          <cell r="M34"/>
          <cell r="N34"/>
          <cell r="O34"/>
          <cell r="P34"/>
          <cell r="Q34"/>
          <cell r="R34"/>
          <cell r="S34"/>
          <cell r="T34"/>
          <cell r="U34">
            <v>91.71</v>
          </cell>
          <cell r="V34">
            <v>104.96</v>
          </cell>
        </row>
        <row r="35">
          <cell r="H35"/>
          <cell r="I35"/>
          <cell r="J35" t="str">
            <v>x</v>
          </cell>
          <cell r="K35" t="str">
            <v>x</v>
          </cell>
          <cell r="L35" t="str">
            <v xml:space="preserve">120# Sterling gloss cover </v>
          </cell>
          <cell r="M35"/>
          <cell r="N35"/>
          <cell r="O35"/>
          <cell r="P35"/>
          <cell r="Q35"/>
          <cell r="R35"/>
          <cell r="S35"/>
          <cell r="T35"/>
          <cell r="U35">
            <v>120.85</v>
          </cell>
          <cell r="V35">
            <v>137.77000000000001</v>
          </cell>
        </row>
        <row r="36">
          <cell r="H36"/>
          <cell r="I36"/>
          <cell r="J36" t="str">
            <v>x</v>
          </cell>
          <cell r="K36" t="str">
            <v>x</v>
          </cell>
          <cell r="L36" t="str">
            <v xml:space="preserve">80# Sterling dull cover </v>
          </cell>
          <cell r="M36"/>
          <cell r="N36"/>
          <cell r="O36"/>
          <cell r="P36"/>
          <cell r="Q36"/>
          <cell r="R36"/>
          <cell r="S36">
            <v>70.09</v>
          </cell>
          <cell r="T36"/>
          <cell r="U36">
            <v>79.760000000000005</v>
          </cell>
          <cell r="V36">
            <v>91.84</v>
          </cell>
        </row>
        <row r="37">
          <cell r="H37"/>
          <cell r="I37"/>
          <cell r="J37" t="str">
            <v>x</v>
          </cell>
          <cell r="K37" t="str">
            <v>x</v>
          </cell>
          <cell r="L37" t="str">
            <v xml:space="preserve">100# Sterling dull cover </v>
          </cell>
          <cell r="M37"/>
          <cell r="N37"/>
          <cell r="O37"/>
          <cell r="P37"/>
          <cell r="Q37"/>
          <cell r="R37"/>
          <cell r="S37">
            <v>87.01</v>
          </cell>
          <cell r="T37"/>
          <cell r="U37">
            <v>91.71</v>
          </cell>
          <cell r="V37">
            <v>104.96</v>
          </cell>
        </row>
        <row r="38">
          <cell r="H38"/>
          <cell r="I38"/>
          <cell r="J38" t="str">
            <v>x</v>
          </cell>
          <cell r="K38" t="str">
            <v>x</v>
          </cell>
          <cell r="L38" t="str">
            <v xml:space="preserve">120# Sterling dull cover </v>
          </cell>
          <cell r="M38"/>
          <cell r="N38"/>
          <cell r="O38"/>
          <cell r="P38"/>
          <cell r="Q38"/>
          <cell r="R38"/>
          <cell r="S38"/>
          <cell r="T38"/>
          <cell r="U38">
            <v>120.85</v>
          </cell>
          <cell r="V38">
            <v>125.95</v>
          </cell>
        </row>
        <row r="39">
          <cell r="H39"/>
          <cell r="I39"/>
          <cell r="J39"/>
          <cell r="K39" t="str">
            <v>x</v>
          </cell>
          <cell r="L39" t="str">
            <v>80# Chorus Art Silk cover</v>
          </cell>
          <cell r="M39"/>
          <cell r="N39"/>
          <cell r="O39"/>
          <cell r="P39"/>
          <cell r="Q39"/>
          <cell r="R39"/>
          <cell r="S39"/>
          <cell r="T39"/>
          <cell r="U39">
            <v>162.25</v>
          </cell>
          <cell r="V39">
            <v>102.45</v>
          </cell>
        </row>
        <row r="40">
          <cell r="H40"/>
          <cell r="I40"/>
          <cell r="J40" t="str">
            <v>x</v>
          </cell>
          <cell r="K40" t="str">
            <v>x</v>
          </cell>
          <cell r="L40" t="str">
            <v>10 pt C1S</v>
          </cell>
          <cell r="M40"/>
          <cell r="N40"/>
          <cell r="O40"/>
          <cell r="P40"/>
          <cell r="Q40"/>
          <cell r="R40"/>
          <cell r="S40"/>
          <cell r="T40"/>
          <cell r="U40">
            <v>79.38</v>
          </cell>
          <cell r="V40">
            <v>92.41</v>
          </cell>
        </row>
        <row r="41">
          <cell r="H41"/>
          <cell r="I41"/>
          <cell r="J41" t="str">
            <v>x</v>
          </cell>
          <cell r="K41" t="str">
            <v>x</v>
          </cell>
          <cell r="L41" t="str">
            <v>12 pt C1S</v>
          </cell>
          <cell r="M41"/>
          <cell r="N41"/>
          <cell r="O41"/>
          <cell r="P41"/>
          <cell r="Q41"/>
          <cell r="R41"/>
          <cell r="S41"/>
          <cell r="T41"/>
          <cell r="U41">
            <v>86.62</v>
          </cell>
          <cell r="V41">
            <v>101.24</v>
          </cell>
        </row>
        <row r="42">
          <cell r="H42"/>
          <cell r="I42"/>
          <cell r="J42"/>
          <cell r="K42"/>
          <cell r="L42" t="str">
            <v>Label 1 x 4 (8.5x11)</v>
          </cell>
          <cell r="M42"/>
          <cell r="N42">
            <v>88</v>
          </cell>
          <cell r="O42"/>
          <cell r="P42"/>
          <cell r="Q42"/>
          <cell r="R42"/>
          <cell r="S42"/>
          <cell r="T42"/>
          <cell r="U42"/>
          <cell r="V42"/>
        </row>
        <row r="43">
          <cell r="H43"/>
          <cell r="I43"/>
          <cell r="J43"/>
          <cell r="K43"/>
          <cell r="L43" t="str">
            <v>Label 2 x 4 (8.5x11)</v>
          </cell>
          <cell r="M43"/>
          <cell r="N43">
            <v>88</v>
          </cell>
          <cell r="O43"/>
          <cell r="P43"/>
          <cell r="Q43"/>
          <cell r="R43"/>
          <cell r="S43"/>
          <cell r="T43"/>
          <cell r="U43"/>
          <cell r="V43"/>
        </row>
        <row r="44">
          <cell r="H44"/>
          <cell r="I44"/>
          <cell r="J44"/>
          <cell r="K44"/>
          <cell r="L44" t="str">
            <v>Label 3.33 x 4 (8.5x11)</v>
          </cell>
          <cell r="M44"/>
          <cell r="N44">
            <v>88</v>
          </cell>
          <cell r="O44"/>
          <cell r="P44"/>
          <cell r="Q44"/>
          <cell r="R44"/>
          <cell r="S44"/>
          <cell r="T44"/>
          <cell r="U44"/>
          <cell r="V44"/>
        </row>
        <row r="45">
          <cell r="H45"/>
          <cell r="I45"/>
          <cell r="J45"/>
          <cell r="K45"/>
          <cell r="L45" t="str">
            <v>Label 4 x 5 (8.5x11)</v>
          </cell>
          <cell r="M45"/>
          <cell r="N45">
            <v>88</v>
          </cell>
          <cell r="O45"/>
          <cell r="P45"/>
          <cell r="Q45"/>
          <cell r="R45"/>
          <cell r="S45"/>
          <cell r="T45"/>
          <cell r="U45"/>
          <cell r="V45"/>
        </row>
      </sheetData>
      <sheetData sheetId="1">
        <row r="3">
          <cell r="A3" t="str">
            <v>#6-3/4 regular, 24# ww</v>
          </cell>
          <cell r="B3">
            <v>2.0959999999999999E-2</v>
          </cell>
        </row>
        <row r="4">
          <cell r="B4">
            <v>3.1649999999999998E-2</v>
          </cell>
        </row>
        <row r="5">
          <cell r="B5">
            <v>7.732E-2</v>
          </cell>
        </row>
        <row r="6">
          <cell r="B6">
            <v>3.5569999999999997E-2</v>
          </cell>
        </row>
        <row r="7">
          <cell r="B7">
            <v>3.2199999999999999E-2</v>
          </cell>
        </row>
        <row r="8">
          <cell r="B8">
            <v>3.5009999999999999E-2</v>
          </cell>
        </row>
        <row r="9">
          <cell r="B9">
            <v>3.5900000000000001E-2</v>
          </cell>
        </row>
        <row r="10">
          <cell r="B10">
            <v>2.8799999999999999E-2</v>
          </cell>
        </row>
        <row r="11">
          <cell r="B11">
            <v>4.0170000000000004E-2</v>
          </cell>
        </row>
        <row r="12">
          <cell r="B12">
            <v>2.8879999999999999E-2</v>
          </cell>
        </row>
        <row r="13">
          <cell r="B13">
            <v>9.9849999999999994E-2</v>
          </cell>
        </row>
        <row r="14">
          <cell r="B14">
            <v>3.9780000000000003E-2</v>
          </cell>
        </row>
        <row r="15">
          <cell r="B15">
            <v>1.9449999999999999E-2</v>
          </cell>
        </row>
        <row r="16">
          <cell r="B16">
            <v>1.12E-2</v>
          </cell>
        </row>
        <row r="17">
          <cell r="B17">
            <v>3.0539999999999998E-2</v>
          </cell>
        </row>
        <row r="18">
          <cell r="B18">
            <v>3.8399999999999997E-2</v>
          </cell>
        </row>
        <row r="19">
          <cell r="B19">
            <v>3.245E-2</v>
          </cell>
        </row>
        <row r="20">
          <cell r="B20">
            <v>2.9350000000000001E-2</v>
          </cell>
        </row>
        <row r="21">
          <cell r="B21">
            <v>1.9449999999999999E-2</v>
          </cell>
        </row>
        <row r="22">
          <cell r="B22">
            <v>2.5989999999999999E-2</v>
          </cell>
        </row>
        <row r="23">
          <cell r="B23">
            <v>5.5370000000000003E-2</v>
          </cell>
        </row>
        <row r="24">
          <cell r="B24">
            <v>3.5000000000000003E-2</v>
          </cell>
        </row>
        <row r="25">
          <cell r="B25">
            <v>3.2680000000000001E-2</v>
          </cell>
        </row>
        <row r="26">
          <cell r="B26">
            <v>4.299E-2</v>
          </cell>
        </row>
        <row r="27">
          <cell r="B27">
            <v>5.0990000000000001E-2</v>
          </cell>
        </row>
        <row r="28">
          <cell r="B28">
            <v>8.2379999999999995E-2</v>
          </cell>
        </row>
        <row r="29">
          <cell r="B29">
            <v>7.1999999999999995E-2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P-Lettershop"/>
      <sheetName val="Proposal charts"/>
      <sheetName val="Postage"/>
      <sheetName val="DonorSearch"/>
      <sheetName val="Dartmouth"/>
      <sheetName val="Other"/>
      <sheetName val="Envl"/>
      <sheetName val="Printing 2"/>
      <sheetName val="House Papers"/>
      <sheetName val="Print Times"/>
      <sheetName val="Client Svcs"/>
      <sheetName val="FOR worksheet"/>
      <sheetName val="CAN Worksheet"/>
      <sheetName val="Trucking Costs 2015"/>
      <sheetName val="MM Margi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Info"/>
      <sheetName val="Pricing"/>
      <sheetName val="ClientServices"/>
      <sheetName val="Quoting"/>
      <sheetName val="DiscountLevels"/>
      <sheetName val="PrintingEnv"/>
      <sheetName val="TablesAndCalcsEnv"/>
      <sheetName val="Printing"/>
      <sheetName val="TablesAndCalcsPrinting"/>
      <sheetName val="HousePapers"/>
      <sheetName val="SpecialPricing-Dartmouth"/>
      <sheetName val="SpecialPricing-Oth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8" name="Table1519" displayName="Table1519" ref="D2:E9" totalsRowShown="0" headerRowDxfId="362" headerRowBorderDxfId="361">
  <autoFilter ref="D2:E9"/>
  <tableColumns count="2">
    <tableColumn id="1" name="Date" dataDxfId="360"/>
    <tableColumn id="2" name="Details" dataDxfId="359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19" name="Table19" displayName="Table19" ref="G1:G28" totalsRowShown="0" headerRowDxfId="358" dataDxfId="357">
  <autoFilter ref="G1:G28"/>
  <tableColumns count="1">
    <tableColumn id="1" name="Revision Suggestions" dataDxfId="356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44" name="Table4345" displayName="Table4345" ref="H10:I12" totalsRowShown="0" headerRowDxfId="355" dataDxfId="354">
  <autoFilter ref="H10:I12"/>
  <tableColumns count="2">
    <tableColumn id="1" name="Color" dataDxfId="353"/>
    <tableColumn id="2" name="Explanation" dataDxfId="352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id="35" name="EnvType" displayName="EnvType" ref="F1:J28" totalsRowShown="0" headerRowDxfId="351" dataDxfId="350">
  <autoFilter ref="F1:J28"/>
  <tableColumns count="5">
    <tableColumn id="1" name="EnvType" dataDxfId="349"/>
    <tableColumn id="2" name="Cost" dataDxfId="348" dataCellStyle="Normal 3">
      <calculatedColumnFormula>'[1]Envelope Prices'!B3</calculatedColumnFormula>
    </tableColumn>
    <tableColumn id="6" name="Run Rate per side" dataDxfId="347"/>
    <tableColumn id="3" name="% of time" dataDxfId="346" dataCellStyle="Percent 3"/>
    <tableColumn id="8" name="flap folding rate" dataDxfId="34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6" name="EnvVar" displayName="EnvVar" ref="L1:M4" totalsRowShown="0" headerRowDxfId="344" dataDxfId="343">
  <autoFilter ref="L1:M4"/>
  <tableColumns count="2">
    <tableColumn id="1" name="EnvVar" dataDxfId="342"/>
    <tableColumn id="2" name="Price Adder" dataDxfId="34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7" name="EnvSource" displayName="EnvSource" ref="O1:P5" totalsRowShown="0" headerRowDxfId="340">
  <autoFilter ref="O1:P5"/>
  <tableColumns count="2">
    <tableColumn id="1" name="EnvSource" dataDxfId="339"/>
    <tableColumn id="2" name="Markup" dataDxfId="33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7" name="EnvColor" displayName="EnvColor" ref="A1:D7" totalsRowShown="0" headerRowDxfId="337" dataDxfId="336" tableBorderDxfId="335" headerRowCellStyle="Normal 3">
  <autoFilter ref="A1:D7"/>
  <tableColumns count="4">
    <tableColumn id="1" name="Color" dataDxfId="334" dataCellStyle="Normal 3"/>
    <tableColumn id="2" name="Front" dataDxfId="333" dataCellStyle="Normal 3"/>
    <tableColumn id="4" name="Back" dataDxfId="332" dataCellStyle="Normal 3"/>
    <tableColumn id="3" name="Impression Cost" dataDxfId="331" dataCellStyle="Normal 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25" name="no10env" displayName="no10env" ref="R1:V8" totalsRowShown="0">
  <autoFilter ref="R1:V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2" name="env6x9" displayName="env6x9" ref="X1:AB8" totalsRowShown="0">
  <autoFilter ref="X1:AB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33" name="A7env" displayName="A7env" ref="AD1:AH8" totalsRowShown="0">
  <autoFilter ref="AD1:AH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34" name="envs" displayName="envs" ref="AJ1:AN8" totalsRowShown="0">
  <autoFilter ref="AJ1:AN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43" name="Table43" displayName="Table43" ref="H10:I13" totalsRowShown="0" headerRowDxfId="330" dataDxfId="329">
  <autoFilter ref="H10:I13"/>
  <tableColumns count="2">
    <tableColumn id="1" name="Color" dataDxfId="328"/>
    <tableColumn id="2" name="Explanation" dataDxfId="327"/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20" name="dpPricing" displayName="dpPricing" ref="A10:C50" totalsRowShown="0" headerRowDxfId="326" dataDxfId="325">
  <autoFilter ref="A10:C50"/>
  <tableColumns count="3">
    <tableColumn id="1" name="Mail Shop Service Code" dataDxfId="324"/>
    <tableColumn id="2" name="Description" dataDxfId="323"/>
    <tableColumn id="3" name="Charge" dataDxfId="322" dataCellStyle="Currency"/>
  </tableColumns>
  <tableStyleInfo name="TableStyleMedium16" showFirstColumn="0" showLastColumn="0" showRowStripes="1" showColumnStripes="0"/>
</table>
</file>

<file path=xl/tables/table14.xml><?xml version="1.0" encoding="utf-8"?>
<table xmlns="http://schemas.openxmlformats.org/spreadsheetml/2006/main" id="21" name="dpPiecePricing" displayName="dpPiecePricing" ref="A53:M69" totalsRowShown="0" headerRowDxfId="321" dataDxfId="320" headerRowCellStyle="Currency" dataCellStyle="Currency">
  <autoFilter ref="A53:M69"/>
  <tableColumns count="13">
    <tableColumn id="1" name="Mail Shop Service Code" dataDxfId="319"/>
    <tableColumn id="2" name="Description" dataDxfId="318"/>
    <tableColumn id="13" name="Cut Over" dataDxfId="317" dataCellStyle="Comma"/>
    <tableColumn id="3" name="≥ 1" dataDxfId="316" dataCellStyle="Currency"/>
    <tableColumn id="4" name="≥ 10000" dataDxfId="315" dataCellStyle="Currency"/>
    <tableColumn id="5" name="≥ 20000" dataDxfId="314" dataCellStyle="Currency"/>
    <tableColumn id="6" name="≥ 25000" dataDxfId="313" dataCellStyle="Currency"/>
    <tableColumn id="7" name="≥ 30000" dataDxfId="312" dataCellStyle="Currency"/>
    <tableColumn id="8" name="≥ 50000" dataDxfId="311" dataCellStyle="Currency"/>
    <tableColumn id="9" name="≥ 75000" dataDxfId="310" dataCellStyle="Currency"/>
    <tableColumn id="10" name="≥ 100000" dataDxfId="309" dataCellStyle="Currency"/>
    <tableColumn id="11" name="≥ 150000" dataDxfId="308" dataCellStyle="Currency"/>
    <tableColumn id="12" name="Discount" dataDxfId="307" dataCellStyle="Currency"/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id="22" name="lettershopPricing" displayName="lettershopPricing" ref="A72:C77" totalsRowShown="0" headerRowDxfId="306" dataDxfId="305" tableBorderDxfId="304">
  <autoFilter ref="A72:C77"/>
  <tableColumns count="3">
    <tableColumn id="1" name="Mail Shop Service Code" dataDxfId="303"/>
    <tableColumn id="2" name="Description" dataDxfId="302"/>
    <tableColumn id="3" name="Charge" dataDxfId="301" dataCellStyle="Currency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id="23" name="lettershopAddPricing" displayName="lettershopAddPricing" ref="A80:O108" totalsRowShown="0" headerRowDxfId="300" dataDxfId="299" tableBorderDxfId="298" headerRowCellStyle="Currency" dataCellStyle="Currency">
  <autoFilter ref="A80:O108"/>
  <tableColumns count="15">
    <tableColumn id="1" name="Mail Shop Service Code" dataDxfId="297"/>
    <tableColumn id="2" name="Description" dataDxfId="296"/>
    <tableColumn id="3" name="Setup" dataDxfId="295" dataCellStyle="Currency"/>
    <tableColumn id="4" name="≥ 1" dataDxfId="294" dataCellStyle="Currency"/>
    <tableColumn id="5" name="≥ 5,000" dataDxfId="293" dataCellStyle="Currency">
      <calculatedColumnFormula>ROUND($D81*(1-INDEX([3]!Table23[#All],MATCH($O81,[3]!Table23[[#All],[Discount Level]],0),MATCH(lettershopAddPricing[[#Headers],[≥ 5,000]],lettershopAddPricing[[#Headers],[≥ 1]:[≥ 150,000]],0))),2)</calculatedColumnFormula>
    </tableColumn>
    <tableColumn id="6" name="≥ 10,000" dataDxfId="292" dataCellStyle="Currency">
      <calculatedColumnFormula>ROUND($D81*(1-INDEX([3]!Table23[#All],MATCH($O81,[3]!Table23[[#All],[Discount Level]],0),MATCH(lettershopAddPricing[[#Headers],[≥ 10,000]],lettershopAddPricing[[#Headers],[≥ 1]:[≥ 150,000]],0))),2)</calculatedColumnFormula>
    </tableColumn>
    <tableColumn id="7" name="≥ 15,000" dataDxfId="291" dataCellStyle="Currency">
      <calculatedColumnFormula>ROUND($D81*(1-INDEX([3]!Table23[#All],MATCH($O81,[3]!Table23[[#All],[Discount Level]],0),MATCH(lettershopAddPricing[[#Headers],[≥ 15,000]],lettershopAddPricing[[#Headers],[≥ 1]:[≥ 150,000]],0))),2)</calculatedColumnFormula>
    </tableColumn>
    <tableColumn id="8" name="≥ 20,000" dataDxfId="290" dataCellStyle="Currency">
      <calculatedColumnFormula>ROUND($D81*(1-INDEX([3]!Table23[#All],MATCH($O81,[3]!Table23[[#All],[Discount Level]],0),MATCH(lettershopAddPricing[[#Headers],[≥ 20,000]],lettershopAddPricing[[#Headers],[≥ 1]:[≥ 150,000]],0))),2)</calculatedColumnFormula>
    </tableColumn>
    <tableColumn id="9" name="≥ 25,000" dataDxfId="289" dataCellStyle="Currency">
      <calculatedColumnFormula>ROUND($D81*(1-INDEX([3]!Table23[#All],MATCH($O81,[3]!Table23[[#All],[Discount Level]],0),MATCH(lettershopAddPricing[[#Headers],[≥ 25,000]],lettershopAddPricing[[#Headers],[≥ 1]:[≥ 150,000]],0))),2)</calculatedColumnFormula>
    </tableColumn>
    <tableColumn id="10" name="≥ 35,000" dataDxfId="288" dataCellStyle="Currency">
      <calculatedColumnFormula>ROUND($D81*(1-INDEX([3]!Table23[#All],MATCH($O81,[3]!Table23[[#All],[Discount Level]],0),MATCH(lettershopAddPricing[[#Headers],[≥ 35,000]],lettershopAddPricing[[#Headers],[≥ 1]:[≥ 150,000]],0))),2)</calculatedColumnFormula>
    </tableColumn>
    <tableColumn id="11" name="≥ 50,000" dataDxfId="287" dataCellStyle="Currency">
      <calculatedColumnFormula>ROUND($D81*(1-INDEX([3]!Table23[#All],MATCH($O81,[3]!Table23[[#All],[Discount Level]],0),MATCH(lettershopAddPricing[[#Headers],[≥ 50,000]],lettershopAddPricing[[#Headers],[≥ 1]:[≥ 150,000]],0))),2)</calculatedColumnFormula>
    </tableColumn>
    <tableColumn id="12" name="≥ 75,000" dataDxfId="286" dataCellStyle="Currency">
      <calculatedColumnFormula>ROUND($D81*(1-INDEX([3]!Table23[#All],MATCH($O81,[3]!Table23[[#All],[Discount Level]],0),MATCH(lettershopAddPricing[[#Headers],[≥ 75,000]],lettershopAddPricing[[#Headers],[≥ 1]:[≥ 150,000]],0))),2)</calculatedColumnFormula>
    </tableColumn>
    <tableColumn id="13" name="≥ 100,000" dataDxfId="285" dataCellStyle="Currency">
      <calculatedColumnFormula>ROUND($D81*(1-INDEX([3]!Table23[#All],MATCH($O81,[3]!Table23[[#All],[Discount Level]],0),MATCH(lettershopAddPricing[[#Headers],[≥ 100,000]],lettershopAddPricing[[#Headers],[≥ 1]:[≥ 150,000]],0))),2)</calculatedColumnFormula>
    </tableColumn>
    <tableColumn id="14" name="≥ 150,000" dataDxfId="284" dataCellStyle="Currency">
      <calculatedColumnFormula>ROUND($D81*(1-INDEX([3]!Table23[#All],MATCH($O81,[3]!Table23[[#All],[Discount Level]],0),MATCH(lettershopAddPricing[[#Headers],[≥ 150,000]],lettershopAddPricing[[#Headers],[≥ 1]:[≥ 150,000]],0))),2)</calculatedColumnFormula>
    </tableColumn>
    <tableColumn id="15" name="Discount" dataDxfId="283"/>
  </tableColumns>
  <tableStyleInfo name="TableStyleMedium16" showFirstColumn="0" showLastColumn="0" showRowStripes="1" showColumnStripes="0"/>
</table>
</file>

<file path=xl/tables/table17.xml><?xml version="1.0" encoding="utf-8"?>
<table xmlns="http://schemas.openxmlformats.org/spreadsheetml/2006/main" id="24" name="lettershopBuskroPricing" displayName="lettershopBuskroPricing" ref="A111:O124" totalsRowShown="0" headerRowDxfId="282" dataDxfId="281" tableBorderDxfId="280" headerRowCellStyle="Currency">
  <autoFilter ref="A111:O124"/>
  <tableColumns count="15">
    <tableColumn id="1" name="Mail Shop Service Code" dataDxfId="279"/>
    <tableColumn id="2" name="Description" dataDxfId="278"/>
    <tableColumn id="3" name="Setup" dataDxfId="277" dataCellStyle="Currency"/>
    <tableColumn id="4" name="≥ 1" dataDxfId="276" dataCellStyle="Currency"/>
    <tableColumn id="5" name="≥ 5,000" dataDxfId="275" dataCellStyle="Currency">
      <calculatedColumnFormula>ROUND($D112*(1-INDEX([3]!Table23[#All],MATCH($O112,[3]!Table23[[#All],[Discount Level]],0),MATCH(lettershopBuskroPricing[[#Headers],[≥ 5,000]],lettershopBuskroPricing[[#Headers],[≥ 1]:[≥ 150,000]],0))),2)</calculatedColumnFormula>
    </tableColumn>
    <tableColumn id="6" name="≥ 10,000" dataDxfId="274" dataCellStyle="Currency">
      <calculatedColumnFormula>ROUND($D112*(1-INDEX([3]!Table23[#All],MATCH($O112,[3]!Table23[[#All],[Discount Level]],0),MATCH(lettershopBuskroPricing[[#Headers],[≥ 10,000]],lettershopBuskroPricing[[#Headers],[≥ 1]:[≥ 150,000]],0))),2)</calculatedColumnFormula>
    </tableColumn>
    <tableColumn id="7" name="≥ 15,000" dataDxfId="273" dataCellStyle="Currency">
      <calculatedColumnFormula>ROUND($D112*(1-INDEX([3]!Table23[#All],MATCH($O112,[3]!Table23[[#All],[Discount Level]],0),MATCH(lettershopBuskroPricing[[#Headers],[≥ 15,000]],lettershopBuskroPricing[[#Headers],[≥ 1]:[≥ 150,000]],0))),2)</calculatedColumnFormula>
    </tableColumn>
    <tableColumn id="8" name="≥ 20,000" dataDxfId="272" dataCellStyle="Currency">
      <calculatedColumnFormula>ROUND($D112*(1-INDEX([3]!Table23[#All],MATCH($O112,[3]!Table23[[#All],[Discount Level]],0),MATCH(lettershopBuskroPricing[[#Headers],[≥ 20,000]],lettershopBuskroPricing[[#Headers],[≥ 1]:[≥ 150,000]],0))),2)</calculatedColumnFormula>
    </tableColumn>
    <tableColumn id="9" name="≥ 25,000" dataDxfId="271" dataCellStyle="Currency">
      <calculatedColumnFormula>ROUND($D112*(1-INDEX([3]!Table23[#All],MATCH($O112,[3]!Table23[[#All],[Discount Level]],0),MATCH(lettershopBuskroPricing[[#Headers],[≥ 25,000]],lettershopBuskroPricing[[#Headers],[≥ 1]:[≥ 150,000]],0))),2)</calculatedColumnFormula>
    </tableColumn>
    <tableColumn id="10" name="≥ 35,000" dataDxfId="270" dataCellStyle="Currency">
      <calculatedColumnFormula>ROUND($D112*(1-INDEX([3]!Table23[#All],MATCH($O112,[3]!Table23[[#All],[Discount Level]],0),MATCH(lettershopBuskroPricing[[#Headers],[≥ 35,000]],lettershopBuskroPricing[[#Headers],[≥ 1]:[≥ 150,000]],0))),2)</calculatedColumnFormula>
    </tableColumn>
    <tableColumn id="11" name="≥ 50,000" dataDxfId="269" dataCellStyle="Currency">
      <calculatedColumnFormula>ROUND($D112*(1-INDEX([3]!Table23[#All],MATCH($O112,[3]!Table23[[#All],[Discount Level]],0),MATCH(lettershopBuskroPricing[[#Headers],[≥ 50,000]],lettershopBuskroPricing[[#Headers],[≥ 1]:[≥ 150,000]],0))),2)</calculatedColumnFormula>
    </tableColumn>
    <tableColumn id="12" name="≥ 75,000" dataDxfId="268" dataCellStyle="Currency">
      <calculatedColumnFormula>ROUND($D112*(1-INDEX([3]!Table23[#All],MATCH($O112,[3]!Table23[[#All],[Discount Level]],0),MATCH(lettershopBuskroPricing[[#Headers],[≥ 75,000]],lettershopBuskroPricing[[#Headers],[≥ 1]:[≥ 150,000]],0))),2)</calculatedColumnFormula>
    </tableColumn>
    <tableColumn id="13" name="≥ 100,000" dataDxfId="267" dataCellStyle="Currency">
      <calculatedColumnFormula>ROUND($D112*(1-INDEX([3]!Table23[#All],MATCH($O112,[3]!Table23[[#All],[Discount Level]],0),MATCH(lettershopBuskroPricing[[#Headers],[≥ 100,000]],lettershopBuskroPricing[[#Headers],[≥ 1]:[≥ 150,000]],0))),2)</calculatedColumnFormula>
    </tableColumn>
    <tableColumn id="14" name="≥ 150,000" dataDxfId="266" dataCellStyle="Currency">
      <calculatedColumnFormula>ROUND($D112*(1-INDEX([3]!Table23[#All],MATCH($O112,[3]!Table23[[#All],[Discount Level]],0),MATCH(lettershopBuskroPricing[[#Headers],[≥ 150,000]],lettershopBuskroPricing[[#Headers],[≥ 1]:[≥ 150,000]],0))),2)</calculatedColumnFormula>
    </tableColumn>
    <tableColumn id="15" name="Discount" dataDxfId="265"/>
  </tableColumns>
  <tableStyleInfo name="TableStyleMedium16" showFirstColumn="0" showLastColumn="0" showRowStripes="1" showColumnStripes="0"/>
</table>
</file>

<file path=xl/tables/table18.xml><?xml version="1.0" encoding="utf-8"?>
<table xmlns="http://schemas.openxmlformats.org/spreadsheetml/2006/main" id="26" name="lettershopInsertFoldPricing" displayName="lettershopInsertFoldPricing" ref="A127:O154" totalsRowShown="0" headerRowDxfId="264" dataDxfId="263" headerRowCellStyle="Currency">
  <autoFilter ref="A127:O154"/>
  <tableColumns count="15">
    <tableColumn id="1" name="Mail Shop Service Code" dataDxfId="262"/>
    <tableColumn id="2" name="Description" dataDxfId="261"/>
    <tableColumn id="3" name="Setup" dataDxfId="260" dataCellStyle="Currency"/>
    <tableColumn id="4" name="≥ 1" dataDxfId="259" dataCellStyle="Currency"/>
    <tableColumn id="5" name="≥ 5,000" dataDxfId="258" dataCellStyle="Currency">
      <calculatedColumnFormula>ROUND($D128*(1-INDEX([3]!Table23[#All],MATCH($O128,[3]!Table23[[#All],[Discount Level]],0),MATCH(lettershopInsertFoldPricing[[#Headers],[≥ 5,000]],lettershopInsertFoldPricing[[#Headers],[≥ 1]:[≥ 150,000]],0))),2)</calculatedColumnFormula>
    </tableColumn>
    <tableColumn id="6" name="≥ 10,000" dataDxfId="257" dataCellStyle="Currency">
      <calculatedColumnFormula>ROUND($D128*(1-INDEX([3]!Table23[#All],MATCH($O128,[3]!Table23[[#All],[Discount Level]],0),MATCH(lettershopInsertFoldPricing[[#Headers],[≥ 10,000]],lettershopInsertFoldPricing[[#Headers],[≥ 1]:[≥ 150,000]],0))),2)</calculatedColumnFormula>
    </tableColumn>
    <tableColumn id="7" name="≥ 15,000" dataDxfId="256" dataCellStyle="Currency">
      <calculatedColumnFormula>ROUND($D128*(1-INDEX([3]!Table23[#All],MATCH($O128,[3]!Table23[[#All],[Discount Level]],0),MATCH(lettershopInsertFoldPricing[[#Headers],[≥ 15,000]],lettershopInsertFoldPricing[[#Headers],[≥ 1]:[≥ 150,000]],0))),2)</calculatedColumnFormula>
    </tableColumn>
    <tableColumn id="8" name="≥ 20,000" dataDxfId="255" dataCellStyle="Currency">
      <calculatedColumnFormula>ROUND($D128*(1-INDEX([3]!Table23[#All],MATCH($O128,[3]!Table23[[#All],[Discount Level]],0),MATCH(lettershopInsertFoldPricing[[#Headers],[≥ 20,000]],lettershopInsertFoldPricing[[#Headers],[≥ 1]:[≥ 150,000]],0))),2)</calculatedColumnFormula>
    </tableColumn>
    <tableColumn id="9" name="≥ 25,000" dataDxfId="254" dataCellStyle="Currency">
      <calculatedColumnFormula>ROUND($D128*(1-INDEX([3]!Table23[#All],MATCH($O128,[3]!Table23[[#All],[Discount Level]],0),MATCH(lettershopInsertFoldPricing[[#Headers],[≥ 25,000]],lettershopInsertFoldPricing[[#Headers],[≥ 1]:[≥ 150,000]],0))),2)</calculatedColumnFormula>
    </tableColumn>
    <tableColumn id="10" name="≥ 35,000" dataDxfId="253" dataCellStyle="Currency">
      <calculatedColumnFormula>ROUND($D128*(1-INDEX([3]!Table23[#All],MATCH($O128,[3]!Table23[[#All],[Discount Level]],0),MATCH(lettershopInsertFoldPricing[[#Headers],[≥ 35,000]],lettershopInsertFoldPricing[[#Headers],[≥ 1]:[≥ 150,000]],0))),2)</calculatedColumnFormula>
    </tableColumn>
    <tableColumn id="11" name="≥ 50,000" dataDxfId="252" dataCellStyle="Currency">
      <calculatedColumnFormula>ROUND($D128*(1-INDEX([3]!Table23[#All],MATCH($O128,[3]!Table23[[#All],[Discount Level]],0),MATCH(lettershopInsertFoldPricing[[#Headers],[≥ 50,000]],lettershopInsertFoldPricing[[#Headers],[≥ 1]:[≥ 150,000]],0))),2)</calculatedColumnFormula>
    </tableColumn>
    <tableColumn id="12" name="≥ 75,000" dataDxfId="251" dataCellStyle="Currency">
      <calculatedColumnFormula>ROUND($D128*(1-INDEX([3]!Table23[#All],MATCH($O128,[3]!Table23[[#All],[Discount Level]],0),MATCH(lettershopInsertFoldPricing[[#Headers],[≥ 75,000]],lettershopInsertFoldPricing[[#Headers],[≥ 1]:[≥ 150,000]],0))),2)</calculatedColumnFormula>
    </tableColumn>
    <tableColumn id="13" name="≥ 100,000" dataDxfId="250" dataCellStyle="Currency">
      <calculatedColumnFormula>ROUND($D128*(1-INDEX([3]!Table23[#All],MATCH($O128,[3]!Table23[[#All],[Discount Level]],0),MATCH(lettershopInsertFoldPricing[[#Headers],[≥ 100,000]],lettershopInsertFoldPricing[[#Headers],[≥ 1]:[≥ 150,000]],0))),2)</calculatedColumnFormula>
    </tableColumn>
    <tableColumn id="14" name="≥ 150,000" dataDxfId="249" dataCellStyle="Currency">
      <calculatedColumnFormula>ROUND($D128*(1-INDEX([3]!Table23[#All],MATCH($O128,[3]!Table23[[#All],[Discount Level]],0),MATCH(lettershopInsertFoldPricing[[#Headers],[≥ 150,000]],lettershopInsertFoldPricing[[#Headers],[≥ 1]:[≥ 150,000]],0))),2)</calculatedColumnFormula>
    </tableColumn>
    <tableColumn id="15" name="Discount" dataDxfId="248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id="27" name="Table29" displayName="Table29" ref="A163:O169" totalsRowShown="0" headerRowDxfId="247" dataDxfId="246" tableBorderDxfId="245" headerRowCellStyle="Currency">
  <autoFilter ref="A163:O169"/>
  <tableColumns count="15">
    <tableColumn id="1" name="Mail Shop Service Code" dataDxfId="244"/>
    <tableColumn id="2" name="Description" dataDxfId="243"/>
    <tableColumn id="3" name="Set Up" dataDxfId="242" dataCellStyle="Currency"/>
    <tableColumn id="4" name="≥ 1" dataDxfId="241" dataCellStyle="Currency"/>
    <tableColumn id="5" name="≥ 5,000" dataDxfId="240" dataCellStyle="Currency">
      <calculatedColumnFormula>ROUND($D164*(1-INDEX([3]!Table23[#All],MATCH($O164,[3]!Table23[[#All],[Discount Level]],0),MATCH(Table29[[#Headers],[≥ 5,000]],Table29[[#Headers],[≥ 1]:[≥ 150,000]],0))),2)</calculatedColumnFormula>
    </tableColumn>
    <tableColumn id="6" name="≥ 10,000" dataDxfId="239" dataCellStyle="Currency">
      <calculatedColumnFormula>ROUND($D164*(1-INDEX([3]!Table23[#All],MATCH($O164,[3]!Table23[[#All],[Discount Level]],0),MATCH(Table29[[#Headers],[≥ 10,000]],Table29[[#Headers],[≥ 1]:[≥ 150,000]],0))),2)</calculatedColumnFormula>
    </tableColumn>
    <tableColumn id="7" name="≥ 15,000" dataDxfId="238" dataCellStyle="Currency">
      <calculatedColumnFormula>ROUND($D164*(1-INDEX([3]!Table23[#All],MATCH($O164,[3]!Table23[[#All],[Discount Level]],0),MATCH(Table29[[#Headers],[≥ 15,000]],Table29[[#Headers],[≥ 1]:[≥ 150,000]],0))),2)</calculatedColumnFormula>
    </tableColumn>
    <tableColumn id="8" name="≥ 20,000" dataDxfId="237" dataCellStyle="Currency">
      <calculatedColumnFormula>ROUND($D164*(1-INDEX([3]!Table23[#All],MATCH($O164,[3]!Table23[[#All],[Discount Level]],0),MATCH(Table29[[#Headers],[≥ 20,000]],Table29[[#Headers],[≥ 1]:[≥ 150,000]],0))),2)</calculatedColumnFormula>
    </tableColumn>
    <tableColumn id="9" name="≥ 25,000" dataDxfId="236" dataCellStyle="Currency">
      <calculatedColumnFormula>ROUND($D164*(1-INDEX([3]!Table23[#All],MATCH($O164,[3]!Table23[[#All],[Discount Level]],0),MATCH(Table29[[#Headers],[≥ 25,000]],Table29[[#Headers],[≥ 1]:[≥ 150,000]],0))),2)</calculatedColumnFormula>
    </tableColumn>
    <tableColumn id="10" name="≥ 35,000" dataDxfId="235" dataCellStyle="Currency">
      <calculatedColumnFormula>ROUND($D164*(1-INDEX([3]!Table23[#All],MATCH($O164,[3]!Table23[[#All],[Discount Level]],0),MATCH(Table29[[#Headers],[≥ 35,000]],Table29[[#Headers],[≥ 1]:[≥ 150,000]],0))),2)</calculatedColumnFormula>
    </tableColumn>
    <tableColumn id="11" name="≥ 50,000" dataDxfId="234" dataCellStyle="Currency">
      <calculatedColumnFormula>ROUND($D164*(1-INDEX([3]!Table23[#All],MATCH($O164,[3]!Table23[[#All],[Discount Level]],0),MATCH(Table29[[#Headers],[≥ 50,000]],Table29[[#Headers],[≥ 1]:[≥ 150,000]],0))),2)</calculatedColumnFormula>
    </tableColumn>
    <tableColumn id="12" name="≥ 75,000" dataDxfId="233" dataCellStyle="Currency">
      <calculatedColumnFormula>ROUND($D164*(1-INDEX([3]!Table23[#All],MATCH($O164,[3]!Table23[[#All],[Discount Level]],0),MATCH(Table29[[#Headers],[≥ 75,000]],Table29[[#Headers],[≥ 1]:[≥ 150,000]],0))),2)</calculatedColumnFormula>
    </tableColumn>
    <tableColumn id="13" name="≥ 100,000" dataDxfId="232" dataCellStyle="Currency">
      <calculatedColumnFormula>ROUND($D164*(1-INDEX([3]!Table23[#All],MATCH($O164,[3]!Table23[[#All],[Discount Level]],0),MATCH(Table29[[#Headers],[≥ 100,000]],Table29[[#Headers],[≥ 1]:[≥ 150,000]],0))),2)</calculatedColumnFormula>
    </tableColumn>
    <tableColumn id="14" name="≥ 150,000" dataDxfId="231" dataCellStyle="Currency">
      <calculatedColumnFormula>ROUND($D164*(1-INDEX([3]!Table23[#All],MATCH($O164,[3]!Table23[[#All],[Discount Level]],0),MATCH(Table29[[#Headers],[≥ 150,000]],Table29[[#Headers],[≥ 1]:[≥ 150,000]],0))),2)</calculatedColumnFormula>
    </tableColumn>
    <tableColumn id="15" name="Discount" dataDxfId="230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id="28" name="Table30" displayName="Table30" ref="A172:C183" totalsRowShown="0" headerRowDxfId="229" dataDxfId="228" tableBorderDxfId="227">
  <autoFilter ref="A172:C183"/>
  <tableColumns count="3">
    <tableColumn id="1" name="Mail Shop Service Code" dataDxfId="226"/>
    <tableColumn id="2" name="Description" dataDxfId="225"/>
    <tableColumn id="3" name="Charge" dataDxfId="224" dataCellStyle="Currency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id="29" name="Table31" displayName="Table31" ref="A186:C230" totalsRowShown="0" headerRowDxfId="223" dataDxfId="222" tableBorderDxfId="221">
  <autoFilter ref="A186:C230"/>
  <tableColumns count="3">
    <tableColumn id="1" name="Mail Shop Service Code" dataDxfId="220"/>
    <tableColumn id="2" name="Description" dataDxfId="219"/>
    <tableColumn id="3" name="Charge" dataDxfId="218" dataCellStyle="Currency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id="30" name="Table45" displayName="Table45" ref="B234:C239" totalsRowShown="0" headerRowDxfId="217" dataDxfId="216">
  <autoFilter ref="B234:C239"/>
  <tableColumns count="2">
    <tableColumn id="1" name="Description" dataDxfId="215"/>
    <tableColumn id="2" name="Charge" dataDxfId="214" dataCellStyle="Currency 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id="31" name="Table51" displayName="Table51" ref="B241:C244" totalsRowShown="0" headerRowDxfId="213" dataDxfId="212">
  <autoFilter ref="B241:C244"/>
  <tableColumns count="2">
    <tableColumn id="1" name="Delivery/Pick up" dataDxfId="211"/>
    <tableColumn id="2" name="Charge" dataDxfId="210" dataCellStyle="Currency 2"/>
  </tableColumns>
  <tableStyleInfo name="TableStyleMedium16" showFirstColumn="0" showLastColumn="0" showRowStripes="1" showColumnStripes="0"/>
</table>
</file>

<file path=xl/tables/table24.xml><?xml version="1.0" encoding="utf-8"?>
<table xmlns="http://schemas.openxmlformats.org/spreadsheetml/2006/main" id="38" name="Table52" displayName="Table52" ref="B246:D250" totalsRowShown="0" headerRowDxfId="209" dataDxfId="208">
  <autoFilter ref="B246:D250"/>
  <tableColumns count="3">
    <tableColumn id="1" name="Deliveries with Mailrite Truck" dataDxfId="207"/>
    <tableColumn id="2" name="Cost" dataDxfId="206" dataCellStyle="Currency 2"/>
    <tableColumn id="3" name="Suggested Price" dataDxfId="205" dataCellStyle="Currency 2"/>
  </tableColumns>
  <tableStyleInfo name="TableStyleMedium16" showFirstColumn="0" showLastColumn="0" showRowStripes="1" showColumnStripes="0"/>
</table>
</file>

<file path=xl/tables/table25.xml><?xml version="1.0" encoding="utf-8"?>
<table xmlns="http://schemas.openxmlformats.org/spreadsheetml/2006/main" id="39" name="Table55" displayName="Table55" ref="A253:F254" totalsRowShown="0" headerRowDxfId="204" dataDxfId="203" headerRowCellStyle="Normal 4" dataCellStyle="Currency 3">
  <autoFilter ref="A253:F254"/>
  <tableColumns count="6">
    <tableColumn id="1" name="Mail Shop Service Code" dataDxfId="202"/>
    <tableColumn id="2" name="Number of NDC/SCF's per job" dataDxfId="201" dataCellStyle="Normal 4"/>
    <tableColumn id="3" name="1" dataDxfId="200" dataCellStyle="Currency 3"/>
    <tableColumn id="4" name="2" dataDxfId="199" dataCellStyle="Currency 3"/>
    <tableColumn id="5" name="3" dataDxfId="198" dataCellStyle="Currency 3"/>
    <tableColumn id="6" name="4" dataDxfId="197" dataCellStyle="Currency 3"/>
  </tableColumns>
  <tableStyleInfo name="TableStyleMedium16" showFirstColumn="0" showLastColumn="0" showRowStripes="1" showColumnStripes="0"/>
</table>
</file>

<file path=xl/tables/table26.xml><?xml version="1.0" encoding="utf-8"?>
<table xmlns="http://schemas.openxmlformats.org/spreadsheetml/2006/main" id="40" name="Table59" displayName="Table59" ref="A2:C7" totalsRowShown="0" headerRowDxfId="196" dataDxfId="195" tableBorderDxfId="194">
  <autoFilter ref="A2:C7"/>
  <tableColumns count="3">
    <tableColumn id="1" name="Mail Shop Service Code" dataDxfId="193"/>
    <tableColumn id="2" name="Description" dataDxfId="192"/>
    <tableColumn id="3" name="Charge" dataDxfId="191"/>
  </tableColumns>
  <tableStyleInfo name="TableStyleMedium16" showFirstColumn="0" showLastColumn="0" showRowStripes="1" showColumnStripes="0"/>
</table>
</file>

<file path=xl/tables/table27.xml><?xml version="1.0" encoding="utf-8"?>
<table xmlns="http://schemas.openxmlformats.org/spreadsheetml/2006/main" id="41" name="Table60" displayName="Table60" ref="A157:C160" totalsRowShown="0" headerRowDxfId="190" tableBorderDxfId="189" totalsRowBorderDxfId="188">
  <autoFilter ref="A157:C160"/>
  <tableColumns count="3">
    <tableColumn id="1" name="Mail Shop Service Code"/>
    <tableColumn id="2" name="Description" dataDxfId="187"/>
    <tableColumn id="3" name="Charge" dataDxfId="186"/>
  </tableColumns>
  <tableStyleInfo name="TableStyleMedium16" showFirstColumn="0" showLastColumn="0" showRowStripes="1" showColumnStripes="0"/>
</table>
</file>

<file path=xl/tables/table28.xml><?xml version="1.0" encoding="utf-8"?>
<table xmlns="http://schemas.openxmlformats.org/spreadsheetml/2006/main" id="42" name="Table61" displayName="Table61" ref="A258:K260" totalsRowShown="0" headerRowDxfId="185" dataDxfId="184" headerRowCellStyle="Normal 4">
  <autoFilter ref="A258:K260"/>
  <tableColumns count="11">
    <tableColumn id="1" name="Mail Shop Service Code" dataDxfId="183"/>
    <tableColumn id="2" name="# Pallets / Letter size" dataDxfId="182"/>
    <tableColumn id="3" name="1" dataDxfId="181"/>
    <tableColumn id="4" name="2" dataDxfId="180"/>
    <tableColumn id="5" name="3" dataDxfId="179"/>
    <tableColumn id="6" name="12" dataDxfId="178"/>
    <tableColumn id="7" name="23" dataDxfId="177"/>
    <tableColumn id="8" name="34" dataDxfId="176"/>
    <tableColumn id="9" name="15" dataDxfId="175"/>
    <tableColumn id="10" name="26" dataDxfId="174"/>
    <tableColumn id="11" name="37" dataDxfId="173"/>
  </tableColumns>
  <tableStyleInfo name="TableStyleMedium16" showFirstColumn="0" showLastColumn="0" showRowStripes="1" showColumnStripes="0"/>
</table>
</file>

<file path=xl/tables/table29.xml><?xml version="1.0" encoding="utf-8"?>
<table xmlns="http://schemas.openxmlformats.org/spreadsheetml/2006/main" id="45" name="notDesignCS" displayName="notDesignCS" ref="A1:B10" totalsRowShown="0" headerRowDxfId="172" dataDxfId="171">
  <autoFilter ref="A1:B10"/>
  <tableColumns count="2">
    <tableColumn id="1" name="Client Services" dataDxfId="170" dataCellStyle="Normal 2"/>
    <tableColumn id="2" name="Sales Price" dataDxfId="169"/>
  </tableColumns>
  <tableStyleInfo name="TableStyleMedium16" showFirstColumn="0" showLastColumn="0" showRowStripes="1" showColumnStripes="0"/>
</table>
</file>

<file path=xl/tables/table30.xml><?xml version="1.0" encoding="utf-8"?>
<table xmlns="http://schemas.openxmlformats.org/spreadsheetml/2006/main" id="46" name="CopyDesign" displayName="CopyDesign" ref="A14:G47" totalsRowShown="0" headerRowDxfId="168" dataDxfId="167" headerRowCellStyle="Normal 2" dataCellStyle="Normal 2">
  <autoFilter ref="A14:G47"/>
  <tableColumns count="7">
    <tableColumn id="1" name="Copywriting and Design - Prices for Clients" dataDxfId="166" dataCellStyle="Normal 2"/>
    <tableColumn id="2" name="Copywrite" dataDxfId="165" dataCellStyle="Currency"/>
    <tableColumn id="3" name="Revise Client Draft" dataDxfId="164" dataCellStyle="Currency"/>
    <tableColumn id="4" name="Edit Client Draft" dataDxfId="163" dataCellStyle="Currency"/>
    <tableColumn id="5" name="Design" dataDxfId="162" dataCellStyle="Currency"/>
    <tableColumn id="6" name="Update Existing or Client Design" dataDxfId="161" dataCellStyle="Currency"/>
    <tableColumn id="7" name="Layout, Schedule &amp; Release" dataDxfId="160" dataCellStyle="Currency"/>
  </tableColumns>
  <tableStyleInfo name="TableStyleMedium16" showFirstColumn="0" showLastColumn="0" showRowStripes="1" showColumnStripes="0"/>
</table>
</file>

<file path=xl/tables/table31.xml><?xml version="1.0" encoding="utf-8"?>
<table xmlns="http://schemas.openxmlformats.org/spreadsheetml/2006/main" id="47" name="HighEndCopyDesign" displayName="HighEndCopyDesign" ref="A54:G87" totalsRowShown="0" headerRowDxfId="159" dataDxfId="158" headerRowCellStyle="Currency 3" dataCellStyle="Currency 3">
  <autoFilter ref="A54:G87"/>
  <tableColumns count="7">
    <tableColumn id="1" name="High End Client Pricing (Navy SEALS)" dataDxfId="157" dataCellStyle="Normal 2"/>
    <tableColumn id="2" name="Copywrite" dataDxfId="156" dataCellStyle="Currency"/>
    <tableColumn id="3" name="Revise Client Draft" dataDxfId="155" dataCellStyle="Currency"/>
    <tableColumn id="4" name="Edit Client Draft" dataDxfId="154" dataCellStyle="Currency"/>
    <tableColumn id="5" name="Design" dataDxfId="153" dataCellStyle="Currency"/>
    <tableColumn id="6" name="Update Existing or Client Design" dataDxfId="152" dataCellStyle="Currency"/>
    <tableColumn id="7" name="Layout, Schedule &amp; Release" dataDxfId="151" dataCellStyle="Currency"/>
  </tableColumns>
  <tableStyleInfo name="TableStyleMedium16" showFirstColumn="0" showLastColumn="0" showRowStripes="1" showColumnStripes="0"/>
</table>
</file>

<file path=xl/tables/table32.xml><?xml version="1.0" encoding="utf-8"?>
<table xmlns="http://schemas.openxmlformats.org/spreadsheetml/2006/main" id="48" name="Table48" displayName="Table48" ref="K54:N82" totalsRowShown="0" headerRowDxfId="150" headerRowCellStyle="Normal 2">
  <autoFilter ref="K54:N82"/>
  <tableColumns count="4">
    <tableColumn id="1" name="Price Paid to Copywriter for High End Work" dataDxfId="149" dataCellStyle="Normal 2"/>
    <tableColumn id="2" name="Copywrite"/>
    <tableColumn id="3" name="Revise Client Draft"/>
    <tableColumn id="4" name="Edit Client Draft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49" name="Table49" displayName="Table49" ref="K14:N42" totalsRowShown="0" headerRowDxfId="148" headerRowCellStyle="Normal 2">
  <autoFilter ref="K14:N42"/>
  <tableColumns count="4">
    <tableColumn id="1" name="Price Paid to Darin for Copywriting" dataDxfId="147" dataCellStyle="Normal 2"/>
    <tableColumn id="2" name="Copywrite"/>
    <tableColumn id="3" name="Revise Client Draft"/>
    <tableColumn id="4" name="Edit Client Draft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50" name="Table50" displayName="Table50" ref="P14:R50" totalsRowShown="0" headerRowDxfId="146" headerRowCellStyle="Normal 2">
  <autoFilter ref="P14:R50"/>
  <tableColumns count="3">
    <tableColumn id="1" name="Price Paid to Subcontractor for Design" dataDxfId="145" dataCellStyle="Normal 2"/>
    <tableColumn id="2" name="Design"/>
    <tableColumn id="3" name="Update Existing or Client Design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51" name="discounts" displayName="discounts" ref="A1:K8" totalsRowShown="0" dataDxfId="144" dataCellStyle="Percent">
  <autoFilter ref="A1:K8"/>
  <tableColumns count="11">
    <tableColumn id="1" name="Discount Level"/>
    <tableColumn id="2" name="Break 1" dataDxfId="143" dataCellStyle="Percent"/>
    <tableColumn id="3" name="Break 2" dataDxfId="142" dataCellStyle="Percent"/>
    <tableColumn id="4" name="Break 3" dataDxfId="141" dataCellStyle="Percent"/>
    <tableColumn id="5" name="Break 4" dataDxfId="140" dataCellStyle="Percent"/>
    <tableColumn id="6" name="Break 5" dataDxfId="139" dataCellStyle="Percent"/>
    <tableColumn id="7" name="Break 6" dataDxfId="138" dataCellStyle="Percent"/>
    <tableColumn id="8" name="Break 7" dataDxfId="137" dataCellStyle="Percent"/>
    <tableColumn id="9" name="Break 8" dataDxfId="136" dataCellStyle="Percent"/>
    <tableColumn id="10" name="Break 9" dataDxfId="135" dataCellStyle="Percent"/>
    <tableColumn id="11" name="Break 10" dataDxfId="134" dataCellStyle="Percent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id="1" name="PrintVar" displayName="PrintVar" ref="A1:B4" totalsRowShown="0" headerRowDxfId="133" dataDxfId="132">
  <autoFilter ref="A1:B4"/>
  <sortState ref="A3:B16">
    <sortCondition ref="B2:B16"/>
  </sortState>
  <tableColumns count="2">
    <tableColumn id="1" name="VariableChoice" dataDxfId="131"/>
    <tableColumn id="2" name="PriceAdder" dataDxfId="130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2" name="PrintColor" displayName="PrintColor" ref="D1:F7" totalsRowShown="0" headerRowDxfId="129" dataDxfId="128">
  <autoFilter ref="D1:F7"/>
  <tableColumns count="3">
    <tableColumn id="1" name="Front" dataDxfId="127"/>
    <tableColumn id="2" name="Back" dataDxfId="126"/>
    <tableColumn id="3" name="ClickCharge" dataDxfId="125" dataCellStyle="Currency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3" name="PrintType" displayName="PrintType" ref="H1:K15" totalsRowShown="0" headerRowDxfId="124" dataDxfId="123">
  <autoFilter ref="H1:K15"/>
  <sortState ref="H3:K27">
    <sortCondition ref="H2:H27"/>
  </sortState>
  <tableColumns count="4">
    <tableColumn id="1" name="Type" dataDxfId="122"/>
    <tableColumn id="2" name="Factor" dataDxfId="121"/>
    <tableColumn id="3" name="VarLimit" dataDxfId="120" dataCellStyle="Comma"/>
    <tableColumn id="4" name="StaticLimit" dataDxfId="119" dataCellStyle="Comma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4" name="PaperSource" displayName="PaperSource" ref="M1:M5" totalsRowShown="0" headerRowDxfId="118" dataDxfId="117">
  <autoFilter ref="M1:M5"/>
  <tableColumns count="1">
    <tableColumn id="1" name="PaperSource" dataDxfId="116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5" name="PrintOutMarkup" displayName="PrintOutMarkup" ref="O1:O2" totalsRowShown="0" headerRowDxfId="115" dataDxfId="114">
  <autoFilter ref="O1:O2"/>
  <tableColumns count="1">
    <tableColumn id="1" name="PrintOutMarkup" dataDxfId="113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7" name="MultiUpCalc" displayName="MultiUpCalc" ref="Q1:S3" totalsRowShown="0" headerRowDxfId="112" dataDxfId="111">
  <autoFilter ref="Q1:S3"/>
  <tableColumns count="3">
    <tableColumn id="1" name="Size" dataDxfId="110"/>
    <tableColumn id="2" name="# Across" dataDxfId="109"/>
    <tableColumn id="3" name="Total Dimension" dataDxfId="108">
      <calculatedColumnFormula>R2*Q2</calculatedColumnFormula>
    </tableColumn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8" name="ClickCosts" displayName="ClickCosts" ref="U1:W5" totalsRowShown="0" headerRowDxfId="107" dataDxfId="106">
  <autoFilter ref="U1:W5"/>
  <tableColumns count="3">
    <tableColumn id="1" name="Column1" dataDxfId="105"/>
    <tableColumn id="2" name="Front" dataDxfId="104"/>
    <tableColumn id="3" name="Back" dataDxfId="103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9" name="AnnualClicks" displayName="AnnualClicks" ref="Y1:AA4" totalsRowShown="0" headerRowDxfId="102" dataDxfId="101">
  <autoFilter ref="Y1:AA4"/>
  <tableColumns count="3">
    <tableColumn id="1" name="Annual clicks" dataDxfId="100"/>
    <tableColumn id="2" name="Column1" dataDxfId="99"/>
    <tableColumn id="3" name="2000000" dataDxfId="98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10" name="PrintTime" displayName="PrintTime" ref="AC1:AD6" totalsRowShown="0" headerRowDxfId="97" dataDxfId="96">
  <autoFilter ref="AC1:AD6"/>
  <tableColumns count="2">
    <tableColumn id="2" name="Column2" dataDxfId="95"/>
    <tableColumn id="3" name="Column3" dataDxfId="94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11" name="MultiUp" displayName="MultiUp" ref="AF1:AP77" totalsRowShown="0" headerRowDxfId="93" dataDxfId="92">
  <autoFilter ref="AF1:AP77"/>
  <tableColumns count="11">
    <tableColumn id="1" name="FinalSize" dataDxfId="91"/>
    <tableColumn id="2" name="8.5x11 Bulk" dataDxfId="90"/>
    <tableColumn id="3" name="8.5 x 11" dataDxfId="89"/>
    <tableColumn id="4" name="8.5x11w/3.5" dataDxfId="88"/>
    <tableColumn id="5" name="8.5x14" dataDxfId="87"/>
    <tableColumn id="6" name="8.5x14w/3.5" dataDxfId="86"/>
    <tableColumn id="7" name="11x17 Bulk" dataDxfId="85"/>
    <tableColumn id="8" name="11 x 17 " dataDxfId="84"/>
    <tableColumn id="9" name="12x18 Bulk" dataDxfId="83"/>
    <tableColumn id="10" name="12 x 18" dataDxfId="82"/>
    <tableColumn id="11" name="13 x 19" dataDxfId="81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6" name="Number10" displayName="Number10" ref="AR1:AV13" totalsRowShown="0" headerRowDxfId="80" dataDxfId="79">
  <autoFilter ref="AR1:AV13"/>
  <tableColumns count="5">
    <tableColumn id="1" name="Option 1" dataDxfId="78"/>
    <tableColumn id="2" name="Option 2" dataDxfId="77"/>
    <tableColumn id="3" name="Option 3" dataDxfId="76"/>
    <tableColumn id="4" name="Option 4" dataDxfId="75"/>
    <tableColumn id="5" name="Option 5" dataDxfId="74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13" name="env6x9.5" displayName="env6x9.5" ref="AX1:BB13" totalsRowShown="0" headerRowDxfId="73" dataDxfId="72">
  <autoFilter ref="AX1:BB13"/>
  <tableColumns count="5">
    <tableColumn id="1" name="Option 1" dataDxfId="71"/>
    <tableColumn id="2" name="Option 2" dataDxfId="70"/>
    <tableColumn id="3" name="Option 3" dataDxfId="69"/>
    <tableColumn id="4" name="Option 4" dataDxfId="68"/>
    <tableColumn id="5" name="Option 5" dataDxfId="67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14" name="envA7" displayName="envA7" ref="BD1:BH13" totalsRowShown="0" headerRowDxfId="66" dataDxfId="65">
  <autoFilter ref="BD1:BH13"/>
  <tableColumns count="5">
    <tableColumn id="1" name="Option 1" dataDxfId="64"/>
    <tableColumn id="2" name="Option 2" dataDxfId="63"/>
    <tableColumn id="3" name="Option 3" dataDxfId="62"/>
    <tableColumn id="4" name="Option 4" dataDxfId="61"/>
    <tableColumn id="5" name="Option 5" dataDxfId="60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15" name="postcards" displayName="postcards" ref="BJ1:BN13" totalsRowShown="0" headerRowDxfId="59" dataDxfId="58">
  <autoFilter ref="BJ1:BN13"/>
  <tableColumns count="5">
    <tableColumn id="1" name="Option 1" dataDxfId="57"/>
    <tableColumn id="2" name="Option 2" dataDxfId="56"/>
    <tableColumn id="3" name="Option 3" dataDxfId="55"/>
    <tableColumn id="4" name="Option 4" dataDxfId="54"/>
    <tableColumn id="5" name="Option 5" dataDxfId="53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16" name="DIR" displayName="DIR" ref="BP1:BT13" totalsRowShown="0" headerRowDxfId="52" dataDxfId="51">
  <autoFilter ref="BP1:BT13"/>
  <tableColumns count="5">
    <tableColumn id="1" name="Option 1" dataDxfId="50"/>
    <tableColumn id="2" name="Option 2" dataDxfId="49"/>
    <tableColumn id="3" name="Option 3" dataDxfId="48"/>
    <tableColumn id="4" name="Option 4" dataDxfId="47"/>
    <tableColumn id="5" name="Option 5" dataDxfId="46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12" name="HousePaper" displayName="HousePaper" ref="A2:O45" totalsRowShown="0" headerRowDxfId="45" dataDxfId="44">
  <autoFilter ref="A2:O45"/>
  <sortState ref="A3:O45">
    <sortCondition ref="E2:E45"/>
  </sortState>
  <tableColumns count="15">
    <tableColumn id="1" name="8.5x11" dataDxfId="43">
      <calculatedColumnFormula>IF('[1]House Papers'!$H3="","", '[1]House Papers'!$H3)</calculatedColumnFormula>
    </tableColumn>
    <tableColumn id="2" name="11x17" dataDxfId="42">
      <calculatedColumnFormula>IF('[1]House Papers'!$I3="","", '[1]House Papers'!$I3)</calculatedColumnFormula>
    </tableColumn>
    <tableColumn id="3" name="12x18" dataDxfId="41">
      <calculatedColumnFormula>IF('[1]House Papers'!$J3="","", '[1]House Papers'!$J3)</calculatedColumnFormula>
    </tableColumn>
    <tableColumn id="4" name="13x19" dataDxfId="40">
      <calculatedColumnFormula>IF('[1]House Papers'!$K3="","", '[1]House Papers'!$K3)</calculatedColumnFormula>
    </tableColumn>
    <tableColumn id="5" name="PaperName" dataDxfId="39">
      <calculatedColumnFormula>IF('[1]House Papers'!$L3="","", '[1]House Papers'!$L3)</calculatedColumnFormula>
    </tableColumn>
    <tableColumn id="6" name="8.5x11 Bulk" dataDxfId="38" dataCellStyle="Currency">
      <calculatedColumnFormula>IF('[1]House Papers'!$M3="",0, '[1]House Papers'!$M3)</calculatedColumnFormula>
    </tableColumn>
    <tableColumn id="7" name="8.5 x 11" dataDxfId="37" dataCellStyle="Currency">
      <calculatedColumnFormula>IF('[1]House Papers'!$N3="",0, '[1]House Papers'!$N3)</calculatedColumnFormula>
    </tableColumn>
    <tableColumn id="8" name="8.5x11w/3.5" dataDxfId="36" dataCellStyle="Currency">
      <calculatedColumnFormula>IF('[1]House Papers'!$O3="",0, '[1]House Papers'!$O3)</calculatedColumnFormula>
    </tableColumn>
    <tableColumn id="9" name="8.5x14" dataDxfId="35" dataCellStyle="Currency">
      <calculatedColumnFormula>IF('[1]House Papers'!$P3="",0, '[1]House Papers'!$P3)</calculatedColumnFormula>
    </tableColumn>
    <tableColumn id="10" name="8.5x14w/3.5" dataDxfId="34" dataCellStyle="Currency">
      <calculatedColumnFormula>IF('[1]House Papers'!$Q3="",0, '[1]House Papers'!$Q3)</calculatedColumnFormula>
    </tableColumn>
    <tableColumn id="11" name="11x17 Bulk" dataDxfId="33" dataCellStyle="Currency">
      <calculatedColumnFormula>IF('[1]House Papers'!$R3="",0, '[1]House Papers'!$R3)</calculatedColumnFormula>
    </tableColumn>
    <tableColumn id="12" name="11 x 17 " dataDxfId="32" dataCellStyle="Currency">
      <calculatedColumnFormula>IF('[1]House Papers'!$S3="",0, '[1]House Papers'!$S3)</calculatedColumnFormula>
    </tableColumn>
    <tableColumn id="13" name="12x18 Bulk" dataDxfId="31" dataCellStyle="Currency">
      <calculatedColumnFormula>IF('[1]House Papers'!$T3="",0, '[1]House Papers'!$T3)</calculatedColumnFormula>
    </tableColumn>
    <tableColumn id="14" name="12 x 18" dataDxfId="30" dataCellStyle="Currency">
      <calculatedColumnFormula>IF('[1]House Papers'!$U3="",0, '[1]House Papers'!$U3)</calculatedColumnFormula>
    </tableColumn>
    <tableColumn id="15" name="13 x 19" dataDxfId="29" dataCellStyle="Currency">
      <calculatedColumnFormula>IF('[1]House Papers'!$V3="",0, '[1]House Papers'!$V3)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954F72"/>
      </a:accent4>
      <a:accent5>
        <a:srgbClr val="5B9BD5"/>
      </a:accent5>
      <a:accent6>
        <a:srgbClr val="70AD47"/>
      </a:accent6>
      <a:hlink>
        <a:srgbClr val="0563C1"/>
      </a:hlink>
      <a:folHlink>
        <a:srgbClr val="7030A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" Type="http://schemas.openxmlformats.org/officeDocument/2006/relationships/table" Target="../tables/table13.xml"/><Relationship Id="rId16" Type="http://schemas.openxmlformats.org/officeDocument/2006/relationships/table" Target="../tables/table2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Relationship Id="rId9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2.xml"/><Relationship Id="rId13" Type="http://schemas.openxmlformats.org/officeDocument/2006/relationships/table" Target="../tables/table47.xml"/><Relationship Id="rId3" Type="http://schemas.openxmlformats.org/officeDocument/2006/relationships/table" Target="../tables/table37.xml"/><Relationship Id="rId7" Type="http://schemas.openxmlformats.org/officeDocument/2006/relationships/table" Target="../tables/table41.xml"/><Relationship Id="rId12" Type="http://schemas.openxmlformats.org/officeDocument/2006/relationships/table" Target="../tables/table46.xml"/><Relationship Id="rId2" Type="http://schemas.openxmlformats.org/officeDocument/2006/relationships/table" Target="../tables/table36.xml"/><Relationship Id="rId16" Type="http://schemas.openxmlformats.org/officeDocument/2006/relationships/table" Target="../tables/table5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0.xml"/><Relationship Id="rId11" Type="http://schemas.openxmlformats.org/officeDocument/2006/relationships/table" Target="../tables/table45.xml"/><Relationship Id="rId5" Type="http://schemas.openxmlformats.org/officeDocument/2006/relationships/table" Target="../tables/table39.xml"/><Relationship Id="rId15" Type="http://schemas.openxmlformats.org/officeDocument/2006/relationships/table" Target="../tables/table49.xml"/><Relationship Id="rId10" Type="http://schemas.openxmlformats.org/officeDocument/2006/relationships/table" Target="../tables/table44.xml"/><Relationship Id="rId4" Type="http://schemas.openxmlformats.org/officeDocument/2006/relationships/table" Target="../tables/table38.xml"/><Relationship Id="rId9" Type="http://schemas.openxmlformats.org/officeDocument/2006/relationships/table" Target="../tables/table43.xml"/><Relationship Id="rId14" Type="http://schemas.openxmlformats.org/officeDocument/2006/relationships/table" Target="../tables/table4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8"/>
  <sheetViews>
    <sheetView workbookViewId="0">
      <selection activeCell="C3" sqref="C3"/>
    </sheetView>
  </sheetViews>
  <sheetFormatPr defaultRowHeight="15" x14ac:dyDescent="0.25"/>
  <cols>
    <col min="1" max="1" width="19.7109375" style="16" customWidth="1"/>
    <col min="2" max="2" width="9.7109375" style="16" customWidth="1"/>
    <col min="3" max="3" width="4.42578125" style="16" customWidth="1"/>
    <col min="4" max="4" width="10.7109375" style="91" customWidth="1"/>
    <col min="5" max="5" width="79.85546875" style="16" bestFit="1" customWidth="1"/>
    <col min="6" max="6" width="9.140625" style="16"/>
    <col min="7" max="7" width="127.5703125" style="16" customWidth="1"/>
    <col min="8" max="16384" width="9.140625" style="16"/>
  </cols>
  <sheetData>
    <row r="1" spans="1:7" ht="15.75" x14ac:dyDescent="0.25">
      <c r="A1" s="16" t="s">
        <v>205</v>
      </c>
      <c r="B1" s="50">
        <v>43466</v>
      </c>
      <c r="D1" s="289" t="s">
        <v>202</v>
      </c>
      <c r="E1" s="289"/>
      <c r="G1" s="11" t="s">
        <v>207</v>
      </c>
    </row>
    <row r="2" spans="1:7" x14ac:dyDescent="0.25">
      <c r="A2" s="16" t="s">
        <v>206</v>
      </c>
      <c r="D2" s="89" t="s">
        <v>203</v>
      </c>
      <c r="E2" s="51" t="s">
        <v>204</v>
      </c>
      <c r="G2" s="48" t="s">
        <v>175</v>
      </c>
    </row>
    <row r="3" spans="1:7" x14ac:dyDescent="0.25">
      <c r="A3" s="16" t="s">
        <v>266</v>
      </c>
      <c r="B3" s="50">
        <v>43539</v>
      </c>
      <c r="D3" s="88">
        <v>180711</v>
      </c>
      <c r="E3" s="24" t="s">
        <v>260</v>
      </c>
      <c r="G3" s="48" t="s">
        <v>176</v>
      </c>
    </row>
    <row r="4" spans="1:7" x14ac:dyDescent="0.25">
      <c r="A4"/>
      <c r="B4"/>
      <c r="D4" s="90">
        <v>180711</v>
      </c>
      <c r="E4" s="52" t="s">
        <v>264</v>
      </c>
      <c r="G4" s="47" t="s">
        <v>177</v>
      </c>
    </row>
    <row r="5" spans="1:7" x14ac:dyDescent="0.25">
      <c r="A5" t="s">
        <v>272</v>
      </c>
      <c r="B5"/>
      <c r="C5" s="24"/>
      <c r="D5" s="90">
        <v>180711</v>
      </c>
      <c r="E5" s="52" t="s">
        <v>263</v>
      </c>
      <c r="F5"/>
      <c r="G5" s="47" t="s">
        <v>178</v>
      </c>
    </row>
    <row r="6" spans="1:7" x14ac:dyDescent="0.25">
      <c r="A6"/>
      <c r="B6"/>
      <c r="C6" s="24"/>
      <c r="D6" s="90">
        <v>180712</v>
      </c>
      <c r="E6" s="52" t="s">
        <v>265</v>
      </c>
      <c r="F6" s="52"/>
      <c r="G6" s="47" t="s">
        <v>179</v>
      </c>
    </row>
    <row r="7" spans="1:7" x14ac:dyDescent="0.25">
      <c r="A7"/>
      <c r="B7"/>
      <c r="C7" s="24"/>
      <c r="D7" s="90">
        <v>180712</v>
      </c>
      <c r="E7" s="52" t="s">
        <v>267</v>
      </c>
      <c r="F7" s="52"/>
      <c r="G7" s="47" t="s">
        <v>180</v>
      </c>
    </row>
    <row r="8" spans="1:7" x14ac:dyDescent="0.25">
      <c r="A8"/>
      <c r="B8"/>
      <c r="C8" s="24"/>
      <c r="D8" s="90">
        <v>190314</v>
      </c>
      <c r="E8" s="52" t="s">
        <v>273</v>
      </c>
      <c r="F8" s="52"/>
      <c r="G8" s="47" t="s">
        <v>181</v>
      </c>
    </row>
    <row r="9" spans="1:7" x14ac:dyDescent="0.25">
      <c r="A9"/>
      <c r="B9"/>
      <c r="C9" s="24"/>
      <c r="D9" s="90">
        <v>190315</v>
      </c>
      <c r="E9" s="52" t="s">
        <v>716</v>
      </c>
      <c r="F9" s="52"/>
      <c r="G9" s="49" t="s">
        <v>182</v>
      </c>
    </row>
    <row r="10" spans="1:7" x14ac:dyDescent="0.25">
      <c r="A10"/>
      <c r="B10"/>
      <c r="C10" s="24"/>
      <c r="F10" s="24"/>
      <c r="G10" s="47" t="s">
        <v>183</v>
      </c>
    </row>
    <row r="11" spans="1:7" x14ac:dyDescent="0.25">
      <c r="A11"/>
      <c r="B11"/>
      <c r="C11" s="24"/>
      <c r="F11" s="24"/>
      <c r="G11" s="49" t="s">
        <v>184</v>
      </c>
    </row>
    <row r="12" spans="1:7" x14ac:dyDescent="0.25">
      <c r="A12"/>
      <c r="B12"/>
      <c r="C12" s="24"/>
      <c r="F12" s="24"/>
      <c r="G12" s="47" t="s">
        <v>185</v>
      </c>
    </row>
    <row r="13" spans="1:7" x14ac:dyDescent="0.25">
      <c r="A13"/>
      <c r="B13"/>
      <c r="C13" s="24"/>
      <c r="F13" s="24"/>
      <c r="G13" s="47" t="s">
        <v>186</v>
      </c>
    </row>
    <row r="14" spans="1:7" x14ac:dyDescent="0.25">
      <c r="A14"/>
      <c r="B14"/>
      <c r="C14" s="24"/>
      <c r="F14" s="24"/>
      <c r="G14" s="47" t="s">
        <v>187</v>
      </c>
    </row>
    <row r="15" spans="1:7" x14ac:dyDescent="0.25">
      <c r="A15"/>
      <c r="B15"/>
      <c r="C15" s="24"/>
      <c r="F15" s="24"/>
      <c r="G15" s="49" t="s">
        <v>188</v>
      </c>
    </row>
    <row r="16" spans="1:7" x14ac:dyDescent="0.25">
      <c r="A16"/>
      <c r="B16"/>
      <c r="C16" s="24"/>
      <c r="F16" s="24"/>
      <c r="G16" s="47" t="s">
        <v>189</v>
      </c>
    </row>
    <row r="17" spans="7:7" x14ac:dyDescent="0.25">
      <c r="G17" s="47" t="s">
        <v>190</v>
      </c>
    </row>
    <row r="18" spans="7:7" x14ac:dyDescent="0.25">
      <c r="G18" s="47" t="s">
        <v>191</v>
      </c>
    </row>
    <row r="19" spans="7:7" x14ac:dyDescent="0.25">
      <c r="G19" s="49" t="s">
        <v>192</v>
      </c>
    </row>
    <row r="20" spans="7:7" x14ac:dyDescent="0.25">
      <c r="G20" s="47" t="s">
        <v>193</v>
      </c>
    </row>
    <row r="21" spans="7:7" x14ac:dyDescent="0.25">
      <c r="G21" s="47" t="s">
        <v>194</v>
      </c>
    </row>
    <row r="22" spans="7:7" x14ac:dyDescent="0.25">
      <c r="G22" s="47" t="s">
        <v>195</v>
      </c>
    </row>
    <row r="23" spans="7:7" x14ac:dyDescent="0.25">
      <c r="G23" s="47" t="s">
        <v>196</v>
      </c>
    </row>
    <row r="24" spans="7:7" x14ac:dyDescent="0.25">
      <c r="G24" s="47" t="s">
        <v>197</v>
      </c>
    </row>
    <row r="25" spans="7:7" x14ac:dyDescent="0.25">
      <c r="G25" s="47" t="s">
        <v>198</v>
      </c>
    </row>
    <row r="26" spans="7:7" x14ac:dyDescent="0.25">
      <c r="G26" s="47" t="s">
        <v>199</v>
      </c>
    </row>
    <row r="27" spans="7:7" x14ac:dyDescent="0.25">
      <c r="G27" s="47" t="s">
        <v>200</v>
      </c>
    </row>
    <row r="28" spans="7:7" x14ac:dyDescent="0.25">
      <c r="G28" s="47" t="s">
        <v>201</v>
      </c>
    </row>
  </sheetData>
  <mergeCells count="1">
    <mergeCell ref="D1:E1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M24"/>
  <sheetViews>
    <sheetView zoomScaleNormal="100" workbookViewId="0">
      <selection activeCell="C6" sqref="C6"/>
    </sheetView>
  </sheetViews>
  <sheetFormatPr defaultRowHeight="12.75" x14ac:dyDescent="0.2"/>
  <cols>
    <col min="1" max="1" width="25" style="87" customWidth="1"/>
    <col min="2" max="6" width="19.140625" style="87" customWidth="1"/>
    <col min="7" max="7" width="4.7109375" style="87" customWidth="1"/>
    <col min="8" max="8" width="12.5703125" style="87" customWidth="1"/>
    <col min="9" max="9" width="42.140625" style="87" bestFit="1" customWidth="1"/>
    <col min="10" max="10" width="12.28515625" style="87" customWidth="1"/>
    <col min="11" max="16384" width="9.140625" style="87"/>
  </cols>
  <sheetData>
    <row r="1" spans="1:13" x14ac:dyDescent="0.2">
      <c r="A1" s="290" t="s">
        <v>26</v>
      </c>
      <c r="B1" s="291"/>
      <c r="C1" s="292"/>
      <c r="D1" s="121" t="s">
        <v>209</v>
      </c>
      <c r="E1" s="121" t="s">
        <v>210</v>
      </c>
      <c r="F1" s="122" t="s">
        <v>203</v>
      </c>
    </row>
    <row r="2" spans="1:13" ht="13.5" thickBot="1" x14ac:dyDescent="0.25">
      <c r="A2" s="293"/>
      <c r="B2" s="294"/>
      <c r="C2" s="295"/>
      <c r="D2" s="53"/>
      <c r="E2" s="53"/>
      <c r="F2" s="118">
        <f ca="1">TODAY()</f>
        <v>43539</v>
      </c>
    </row>
    <row r="3" spans="1:13" ht="13.5" thickBot="1" x14ac:dyDescent="0.25">
      <c r="A3" s="123"/>
      <c r="B3" s="70" t="s">
        <v>56</v>
      </c>
      <c r="C3" s="71" t="s">
        <v>57</v>
      </c>
      <c r="D3" s="71" t="s">
        <v>58</v>
      </c>
      <c r="E3" s="71" t="s">
        <v>59</v>
      </c>
      <c r="F3" s="72" t="s">
        <v>60</v>
      </c>
    </row>
    <row r="4" spans="1:13" s="108" customFormat="1" ht="29.25" customHeight="1" x14ac:dyDescent="0.2">
      <c r="A4" s="115" t="s">
        <v>211</v>
      </c>
      <c r="B4" s="92"/>
      <c r="C4" s="93"/>
      <c r="D4" s="93"/>
      <c r="E4" s="93"/>
      <c r="F4" s="94"/>
    </row>
    <row r="5" spans="1:13" s="108" customFormat="1" ht="29.25" customHeight="1" x14ac:dyDescent="0.2">
      <c r="A5" s="115" t="s">
        <v>212</v>
      </c>
      <c r="B5" s="113"/>
      <c r="C5" s="109"/>
      <c r="D5" s="109"/>
      <c r="E5" s="109"/>
      <c r="F5" s="110"/>
    </row>
    <row r="6" spans="1:13" s="108" customFormat="1" ht="29.25" customHeight="1" x14ac:dyDescent="0.2">
      <c r="A6" s="115" t="s">
        <v>269</v>
      </c>
      <c r="B6" s="69"/>
      <c r="C6" s="32"/>
      <c r="D6" s="32"/>
      <c r="E6" s="32"/>
      <c r="F6" s="42"/>
    </row>
    <row r="7" spans="1:13" s="108" customFormat="1" ht="29.25" customHeight="1" x14ac:dyDescent="0.2">
      <c r="A7" s="115" t="s">
        <v>213</v>
      </c>
      <c r="B7" s="69"/>
      <c r="C7" s="32"/>
      <c r="D7" s="32"/>
      <c r="E7" s="32"/>
      <c r="F7" s="42"/>
    </row>
    <row r="8" spans="1:13" s="108" customFormat="1" ht="29.25" customHeight="1" x14ac:dyDescent="0.2">
      <c r="A8" s="115" t="s">
        <v>214</v>
      </c>
      <c r="B8" s="69"/>
      <c r="C8" s="32"/>
      <c r="D8" s="32"/>
      <c r="E8" s="32"/>
      <c r="F8" s="42"/>
    </row>
    <row r="9" spans="1:13" s="108" customFormat="1" ht="29.25" customHeight="1" x14ac:dyDescent="0.2">
      <c r="A9" s="115" t="s">
        <v>72</v>
      </c>
      <c r="B9" s="69"/>
      <c r="C9" s="32"/>
      <c r="D9" s="32"/>
      <c r="E9" s="32"/>
      <c r="F9" s="42"/>
    </row>
    <row r="10" spans="1:13" ht="15.75" customHeight="1" x14ac:dyDescent="0.2">
      <c r="A10" s="120" t="s">
        <v>73</v>
      </c>
      <c r="B10" s="80"/>
      <c r="C10" s="81"/>
      <c r="D10" s="81"/>
      <c r="E10" s="81"/>
      <c r="F10" s="82"/>
      <c r="H10" s="97" t="s">
        <v>254</v>
      </c>
      <c r="I10" s="98" t="s">
        <v>257</v>
      </c>
    </row>
    <row r="11" spans="1:13" ht="15.75" customHeight="1" x14ac:dyDescent="0.2">
      <c r="A11" s="116" t="s">
        <v>74</v>
      </c>
      <c r="B11" s="124">
        <f t="shared" ref="B11:F11" si="0">IFERROR(ROUND(envPriceEach(B10,B$4:B$9),3),0)</f>
        <v>0</v>
      </c>
      <c r="C11" s="125">
        <f t="shared" si="0"/>
        <v>0</v>
      </c>
      <c r="D11" s="125">
        <f t="shared" si="0"/>
        <v>0</v>
      </c>
      <c r="E11" s="125">
        <f t="shared" si="0"/>
        <v>0</v>
      </c>
      <c r="F11" s="126">
        <f t="shared" si="0"/>
        <v>0</v>
      </c>
      <c r="H11" s="102"/>
      <c r="I11" s="98" t="s">
        <v>261</v>
      </c>
    </row>
    <row r="12" spans="1:13" ht="15.75" customHeight="1" x14ac:dyDescent="0.2">
      <c r="A12" s="116" t="s">
        <v>75</v>
      </c>
      <c r="B12" s="127">
        <f>B11*B10</f>
        <v>0</v>
      </c>
      <c r="C12" s="128">
        <f t="shared" ref="C12:F12" si="1">C11*C10</f>
        <v>0</v>
      </c>
      <c r="D12" s="128">
        <f t="shared" si="1"/>
        <v>0</v>
      </c>
      <c r="E12" s="128">
        <f t="shared" si="1"/>
        <v>0</v>
      </c>
      <c r="F12" s="129">
        <f t="shared" si="1"/>
        <v>0</v>
      </c>
      <c r="H12" s="103"/>
      <c r="I12" s="98" t="s">
        <v>262</v>
      </c>
    </row>
    <row r="13" spans="1:13" ht="15.75" customHeight="1" x14ac:dyDescent="0.2">
      <c r="A13" s="120" t="s">
        <v>76</v>
      </c>
      <c r="B13" s="80"/>
      <c r="C13" s="81"/>
      <c r="D13" s="81"/>
      <c r="E13" s="81"/>
      <c r="F13" s="82"/>
      <c r="H13" s="55"/>
    </row>
    <row r="14" spans="1:13" ht="15.75" customHeight="1" x14ac:dyDescent="0.2">
      <c r="A14" s="116" t="s">
        <v>74</v>
      </c>
      <c r="B14" s="124">
        <f t="shared" ref="B14:F14" si="2">IFERROR(ROUND(envPriceEach(B13,B$4:B$9),3),0)</f>
        <v>0</v>
      </c>
      <c r="C14" s="125">
        <f t="shared" si="2"/>
        <v>0</v>
      </c>
      <c r="D14" s="125">
        <f t="shared" si="2"/>
        <v>0</v>
      </c>
      <c r="E14" s="125">
        <f t="shared" si="2"/>
        <v>0</v>
      </c>
      <c r="F14" s="126">
        <f t="shared" si="2"/>
        <v>0</v>
      </c>
      <c r="H14" s="111"/>
      <c r="I14" s="111"/>
      <c r="J14" s="111"/>
      <c r="K14" s="111"/>
      <c r="L14" s="111"/>
      <c r="M14" s="111"/>
    </row>
    <row r="15" spans="1:13" ht="15.75" customHeight="1" x14ac:dyDescent="0.2">
      <c r="A15" s="116" t="s">
        <v>77</v>
      </c>
      <c r="B15" s="127">
        <f>B14*B13</f>
        <v>0</v>
      </c>
      <c r="C15" s="128">
        <f t="shared" ref="C15:F15" si="3">C14*C13</f>
        <v>0</v>
      </c>
      <c r="D15" s="128">
        <f t="shared" si="3"/>
        <v>0</v>
      </c>
      <c r="E15" s="128">
        <f t="shared" si="3"/>
        <v>0</v>
      </c>
      <c r="F15" s="129">
        <f t="shared" si="3"/>
        <v>0</v>
      </c>
    </row>
    <row r="16" spans="1:13" ht="15.75" customHeight="1" x14ac:dyDescent="0.2">
      <c r="A16" s="120" t="s">
        <v>78</v>
      </c>
      <c r="B16" s="80"/>
      <c r="C16" s="81"/>
      <c r="D16" s="81"/>
      <c r="E16" s="81"/>
      <c r="F16" s="82"/>
    </row>
    <row r="17" spans="1:9" ht="15.75" customHeight="1" x14ac:dyDescent="0.2">
      <c r="A17" s="116" t="s">
        <v>74</v>
      </c>
      <c r="B17" s="124">
        <f t="shared" ref="B17:F17" si="4">IFERROR(ROUND(envPriceEach(B16,B$4:B$9),3),0)</f>
        <v>0</v>
      </c>
      <c r="C17" s="125">
        <f t="shared" si="4"/>
        <v>0</v>
      </c>
      <c r="D17" s="125">
        <f t="shared" si="4"/>
        <v>0</v>
      </c>
      <c r="E17" s="125">
        <f t="shared" si="4"/>
        <v>0</v>
      </c>
      <c r="F17" s="126">
        <f t="shared" si="4"/>
        <v>0</v>
      </c>
      <c r="I17" s="112"/>
    </row>
    <row r="18" spans="1:9" ht="15.75" customHeight="1" x14ac:dyDescent="0.2">
      <c r="A18" s="116" t="s">
        <v>79</v>
      </c>
      <c r="B18" s="127">
        <f>B17*B16</f>
        <v>0</v>
      </c>
      <c r="C18" s="128">
        <f t="shared" ref="C18" si="5">C17*C16</f>
        <v>0</v>
      </c>
      <c r="D18" s="128">
        <f t="shared" ref="D18" si="6">D17*D16</f>
        <v>0</v>
      </c>
      <c r="E18" s="128">
        <f t="shared" ref="E18" si="7">E17*E16</f>
        <v>0</v>
      </c>
      <c r="F18" s="129">
        <f t="shared" ref="F18" si="8">F17*F16</f>
        <v>0</v>
      </c>
    </row>
    <row r="19" spans="1:9" ht="15.75" customHeight="1" x14ac:dyDescent="0.2">
      <c r="A19" s="120" t="s">
        <v>80</v>
      </c>
      <c r="B19" s="80"/>
      <c r="C19" s="81"/>
      <c r="D19" s="81"/>
      <c r="E19" s="81"/>
      <c r="F19" s="82"/>
    </row>
    <row r="20" spans="1:9" ht="15.75" customHeight="1" x14ac:dyDescent="0.2">
      <c r="A20" s="116" t="s">
        <v>74</v>
      </c>
      <c r="B20" s="124">
        <f t="shared" ref="B20:F20" si="9">IFERROR(ROUND(envPriceEach(B19,B$4:B$9),3),0)</f>
        <v>0</v>
      </c>
      <c r="C20" s="125">
        <f t="shared" si="9"/>
        <v>0</v>
      </c>
      <c r="D20" s="125">
        <f t="shared" si="9"/>
        <v>0</v>
      </c>
      <c r="E20" s="125">
        <f t="shared" si="9"/>
        <v>0</v>
      </c>
      <c r="F20" s="126">
        <f t="shared" si="9"/>
        <v>0</v>
      </c>
    </row>
    <row r="21" spans="1:9" ht="15.75" customHeight="1" x14ac:dyDescent="0.2">
      <c r="A21" s="116" t="s">
        <v>81</v>
      </c>
      <c r="B21" s="127">
        <f>B20*B19</f>
        <v>0</v>
      </c>
      <c r="C21" s="128">
        <f t="shared" ref="C21" si="10">C20*C19</f>
        <v>0</v>
      </c>
      <c r="D21" s="128">
        <f t="shared" ref="D21" si="11">D20*D19</f>
        <v>0</v>
      </c>
      <c r="E21" s="128">
        <f t="shared" ref="E21" si="12">E20*E19</f>
        <v>0</v>
      </c>
      <c r="F21" s="129">
        <f t="shared" ref="F21" si="13">F20*F19</f>
        <v>0</v>
      </c>
    </row>
    <row r="22" spans="1:9" ht="15.75" customHeight="1" x14ac:dyDescent="0.2">
      <c r="A22" s="120" t="s">
        <v>82</v>
      </c>
      <c r="B22" s="80"/>
      <c r="C22" s="81"/>
      <c r="D22" s="81"/>
      <c r="E22" s="81"/>
      <c r="F22" s="82"/>
    </row>
    <row r="23" spans="1:9" ht="15.75" customHeight="1" x14ac:dyDescent="0.2">
      <c r="A23" s="116" t="s">
        <v>74</v>
      </c>
      <c r="B23" s="124">
        <f t="shared" ref="B23:F23" si="14">IFERROR(ROUND(envPriceEach(B22,B$4:B$9),3),0)</f>
        <v>0</v>
      </c>
      <c r="C23" s="125">
        <f t="shared" si="14"/>
        <v>0</v>
      </c>
      <c r="D23" s="125">
        <f t="shared" si="14"/>
        <v>0</v>
      </c>
      <c r="E23" s="125">
        <f t="shared" si="14"/>
        <v>0</v>
      </c>
      <c r="F23" s="126">
        <f t="shared" si="14"/>
        <v>0</v>
      </c>
    </row>
    <row r="24" spans="1:9" ht="15.75" customHeight="1" thickBot="1" x14ac:dyDescent="0.25">
      <c r="A24" s="117" t="s">
        <v>83</v>
      </c>
      <c r="B24" s="130">
        <f>B23*B22</f>
        <v>0</v>
      </c>
      <c r="C24" s="131">
        <f t="shared" ref="C24" si="15">C23*C22</f>
        <v>0</v>
      </c>
      <c r="D24" s="131">
        <f t="shared" ref="D24" si="16">D23*D22</f>
        <v>0</v>
      </c>
      <c r="E24" s="131">
        <f t="shared" ref="E24" si="17">E23*E22</f>
        <v>0</v>
      </c>
      <c r="F24" s="132">
        <f t="shared" ref="F24" si="18">F23*F22</f>
        <v>0</v>
      </c>
    </row>
  </sheetData>
  <sheetProtection password="8D2B" sheet="1" objects="1" scenarios="1"/>
  <protectedRanges>
    <protectedRange sqref="A2:F2" name="Q1"/>
  </protectedRanges>
  <mergeCells count="2">
    <mergeCell ref="A1:C1"/>
    <mergeCell ref="A2:C2"/>
  </mergeCells>
  <conditionalFormatting sqref="C6:F6">
    <cfRule type="expression" dxfId="28" priority="9">
      <formula>IF(C$4 = "Five Maples Stock", TRUE, FALSE)</formula>
    </cfRule>
  </conditionalFormatting>
  <conditionalFormatting sqref="B18:F18 B21:F21 B24:F24">
    <cfRule type="expression" dxfId="27" priority="7">
      <formula>IF(envCostCheck(B$9,B$5,B$7,B$8,B17),TRUE,FALSE)</formula>
    </cfRule>
    <cfRule type="expression" dxfId="26" priority="8">
      <formula>IF(PrintTimeCheck(B$5, B$9, B16), TRUE,FALSE)</formula>
    </cfRule>
  </conditionalFormatting>
  <conditionalFormatting sqref="B12:F12">
    <cfRule type="expression" dxfId="25" priority="5">
      <formula>IF(envCostCheck(B$9,B$5,B$7,B$8,B11),TRUE,FALSE)</formula>
    </cfRule>
    <cfRule type="expression" dxfId="24" priority="6">
      <formula>IF(PrintTimeCheck(B$5, B$9, B10), TRUE,FALSE)</formula>
    </cfRule>
  </conditionalFormatting>
  <conditionalFormatting sqref="B15:F15">
    <cfRule type="expression" dxfId="23" priority="3">
      <formula>IF(envCostCheck(B$9,B$5,B$7,B$8,B14),TRUE,FALSE)</formula>
    </cfRule>
    <cfRule type="expression" dxfId="22" priority="4">
      <formula>IF(PrintTimeCheck(B$5, B$9, B13), TRUE,FALSE)</formula>
    </cfRule>
  </conditionalFormatting>
  <conditionalFormatting sqref="B6">
    <cfRule type="expression" dxfId="21" priority="1">
      <formula>IF(B$4 = "Five Maples Stock", TRUE, FALSE)</formula>
    </cfRule>
  </conditionalFormatting>
  <dataValidations count="4">
    <dataValidation type="list" allowBlank="1" showInputMessage="1" showErrorMessage="1" sqref="B5:F5">
      <formula1>INDIRECT("EnvType[EnvType]")</formula1>
    </dataValidation>
    <dataValidation type="list" allowBlank="1" showInputMessage="1" showErrorMessage="1" sqref="B4:F4">
      <formula1>INDIRECT("EnvSource[EnvSource]")</formula1>
    </dataValidation>
    <dataValidation type="list" allowBlank="1" showInputMessage="1" showErrorMessage="1" sqref="B9:F9">
      <formula1>INDIRECT("EnvVar[EnvVar]")</formula1>
    </dataValidation>
    <dataValidation type="list" allowBlank="1" showInputMessage="1" showErrorMessage="1" sqref="B7:F8">
      <formula1>INDIRECT("EnvColor[Color]")</formula1>
    </dataValidation>
  </dataValidations>
  <pageMargins left="0.7" right="0.7" top="0.75" bottom="0.75" header="0.3" footer="0.3"/>
  <pageSetup orientation="landscape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8"/>
  <sheetViews>
    <sheetView view="pageBreakPreview" zoomScale="85" zoomScaleNormal="100" zoomScaleSheetLayoutView="85" workbookViewId="0">
      <selection activeCell="G11" sqref="G11"/>
    </sheetView>
  </sheetViews>
  <sheetFormatPr defaultRowHeight="15" x14ac:dyDescent="0.25"/>
  <cols>
    <col min="1" max="3" width="17.7109375" customWidth="1"/>
    <col min="4" max="4" width="23.7109375" customWidth="1"/>
    <col min="6" max="6" width="36.85546875" customWidth="1"/>
    <col min="7" max="7" width="8" customWidth="1"/>
    <col min="8" max="8" width="20.42578125" bestFit="1" customWidth="1"/>
    <col min="9" max="9" width="17.28515625" customWidth="1"/>
    <col min="10" max="10" width="19.140625" customWidth="1"/>
    <col min="11" max="11" width="10.5703125" customWidth="1"/>
    <col min="12" max="12" width="19.42578125" customWidth="1"/>
    <col min="13" max="13" width="16.28515625" customWidth="1"/>
    <col min="14" max="14" width="19.42578125" customWidth="1"/>
    <col min="15" max="15" width="19.140625" customWidth="1"/>
    <col min="17" max="18" width="19.140625" customWidth="1"/>
    <col min="19" max="22" width="20.140625" customWidth="1"/>
    <col min="24" max="25" width="20" customWidth="1"/>
    <col min="26" max="26" width="21.42578125" customWidth="1"/>
    <col min="27" max="27" width="18.140625" customWidth="1"/>
    <col min="28" max="28" width="30.85546875" customWidth="1"/>
    <col min="30" max="30" width="26.5703125" customWidth="1"/>
    <col min="31" max="31" width="28.42578125" customWidth="1"/>
    <col min="32" max="34" width="10.85546875" customWidth="1"/>
    <col min="36" max="36" width="19.140625" customWidth="1"/>
    <col min="37" max="37" width="18.140625" customWidth="1"/>
    <col min="38" max="38" width="21.42578125" customWidth="1"/>
    <col min="39" max="39" width="20" customWidth="1"/>
    <col min="40" max="40" width="17.85546875" customWidth="1"/>
  </cols>
  <sheetData>
    <row r="1" spans="1:40" x14ac:dyDescent="0.25">
      <c r="A1" s="59" t="s">
        <v>254</v>
      </c>
      <c r="B1" s="59" t="s">
        <v>4</v>
      </c>
      <c r="C1" s="59" t="s">
        <v>5</v>
      </c>
      <c r="D1" s="59" t="s">
        <v>215</v>
      </c>
      <c r="F1" s="56" t="s">
        <v>216</v>
      </c>
      <c r="G1" s="56" t="s">
        <v>174</v>
      </c>
      <c r="H1" s="56" t="s">
        <v>217</v>
      </c>
      <c r="I1" s="56" t="s">
        <v>218</v>
      </c>
      <c r="J1" s="64" t="s">
        <v>219</v>
      </c>
      <c r="L1" s="31" t="s">
        <v>247</v>
      </c>
      <c r="M1" s="60" t="s">
        <v>248</v>
      </c>
      <c r="O1" s="56" t="s">
        <v>253</v>
      </c>
      <c r="P1" s="56" t="s">
        <v>250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D1" t="s">
        <v>56</v>
      </c>
      <c r="AE1" t="s">
        <v>57</v>
      </c>
      <c r="AF1" t="s">
        <v>58</v>
      </c>
      <c r="AG1" t="s">
        <v>59</v>
      </c>
      <c r="AH1" t="s">
        <v>60</v>
      </c>
      <c r="AJ1" t="s">
        <v>56</v>
      </c>
      <c r="AK1" t="s">
        <v>57</v>
      </c>
      <c r="AL1" t="s">
        <v>58</v>
      </c>
      <c r="AM1" t="s">
        <v>59</v>
      </c>
      <c r="AN1" t="s">
        <v>60</v>
      </c>
    </row>
    <row r="2" spans="1:40" x14ac:dyDescent="0.25">
      <c r="A2" s="73">
        <v>0</v>
      </c>
      <c r="B2" s="74">
        <v>0</v>
      </c>
      <c r="C2" s="74">
        <v>0</v>
      </c>
      <c r="D2" s="57">
        <v>0</v>
      </c>
      <c r="F2" s="62" t="s">
        <v>220</v>
      </c>
      <c r="G2" s="57">
        <f>'[1]Envelope Prices'!B3</f>
        <v>2.0959999999999999E-2</v>
      </c>
      <c r="H2" s="63">
        <v>2000</v>
      </c>
      <c r="I2" s="64">
        <v>0.15</v>
      </c>
      <c r="J2" s="77">
        <v>0</v>
      </c>
      <c r="L2" s="66" t="s">
        <v>1</v>
      </c>
      <c r="M2" s="60">
        <v>0</v>
      </c>
      <c r="O2" s="56" t="s">
        <v>25</v>
      </c>
      <c r="P2" s="61">
        <v>1.35</v>
      </c>
      <c r="R2" t="s">
        <v>255</v>
      </c>
      <c r="S2" t="s">
        <v>255</v>
      </c>
      <c r="T2" t="s">
        <v>255</v>
      </c>
      <c r="U2" t="s">
        <v>255</v>
      </c>
      <c r="X2" t="s">
        <v>255</v>
      </c>
      <c r="Y2" t="s">
        <v>255</v>
      </c>
      <c r="Z2" t="s">
        <v>255</v>
      </c>
      <c r="AA2" t="s">
        <v>255</v>
      </c>
      <c r="AB2" t="s">
        <v>255</v>
      </c>
      <c r="AD2" t="s">
        <v>255</v>
      </c>
      <c r="AE2" t="s">
        <v>255</v>
      </c>
      <c r="AJ2" t="s">
        <v>255</v>
      </c>
      <c r="AK2" t="s">
        <v>255</v>
      </c>
      <c r="AL2" t="s">
        <v>255</v>
      </c>
      <c r="AM2" t="s">
        <v>255</v>
      </c>
      <c r="AN2" t="s">
        <v>255</v>
      </c>
    </row>
    <row r="3" spans="1:40" x14ac:dyDescent="0.25">
      <c r="A3" s="73" t="s">
        <v>6</v>
      </c>
      <c r="B3" s="74">
        <v>0.06</v>
      </c>
      <c r="C3" s="74">
        <v>0.06</v>
      </c>
      <c r="D3" s="57">
        <v>8.0000000000000002E-3</v>
      </c>
      <c r="F3" s="62" t="s">
        <v>221</v>
      </c>
      <c r="G3" s="57">
        <f>'[1]Envelope Prices'!B4</f>
        <v>3.1649999999999998E-2</v>
      </c>
      <c r="H3" s="63">
        <v>750</v>
      </c>
      <c r="I3" s="64">
        <v>0.4</v>
      </c>
      <c r="J3" s="77">
        <v>4000</v>
      </c>
      <c r="L3" s="56" t="s">
        <v>2</v>
      </c>
      <c r="M3" s="67">
        <v>1</v>
      </c>
      <c r="O3" s="68" t="s">
        <v>26</v>
      </c>
      <c r="P3" s="61"/>
      <c r="R3" t="s">
        <v>238</v>
      </c>
      <c r="S3" t="s">
        <v>238</v>
      </c>
      <c r="T3" t="s">
        <v>238</v>
      </c>
      <c r="U3" t="s">
        <v>232</v>
      </c>
      <c r="X3" t="s">
        <v>241</v>
      </c>
      <c r="Y3" t="s">
        <v>221</v>
      </c>
      <c r="Z3" t="s">
        <v>242</v>
      </c>
      <c r="AA3" t="s">
        <v>232</v>
      </c>
      <c r="AB3" t="s">
        <v>222</v>
      </c>
      <c r="AD3" t="s">
        <v>229</v>
      </c>
      <c r="AE3" t="s">
        <v>226</v>
      </c>
      <c r="AJ3" t="s">
        <v>238</v>
      </c>
      <c r="AK3" t="s">
        <v>232</v>
      </c>
      <c r="AL3" t="s">
        <v>242</v>
      </c>
      <c r="AM3" t="s">
        <v>221</v>
      </c>
      <c r="AN3" t="s">
        <v>234</v>
      </c>
    </row>
    <row r="4" spans="1:40" x14ac:dyDescent="0.25">
      <c r="A4" s="73">
        <v>1</v>
      </c>
      <c r="B4" s="74">
        <v>2</v>
      </c>
      <c r="C4" s="74">
        <v>1</v>
      </c>
      <c r="D4" s="57">
        <v>0.01</v>
      </c>
      <c r="F4" s="62" t="s">
        <v>222</v>
      </c>
      <c r="G4" s="57">
        <f>'[1]Envelope Prices'!B5</f>
        <v>7.732E-2</v>
      </c>
      <c r="H4" s="63">
        <v>1500</v>
      </c>
      <c r="I4" s="64">
        <v>0.15</v>
      </c>
      <c r="J4" s="77">
        <v>0</v>
      </c>
      <c r="L4" s="68" t="s">
        <v>249</v>
      </c>
      <c r="M4" s="67">
        <v>1.2</v>
      </c>
      <c r="O4" s="68" t="s">
        <v>251</v>
      </c>
      <c r="P4" s="61"/>
    </row>
    <row r="5" spans="1:40" x14ac:dyDescent="0.25">
      <c r="A5" s="73">
        <v>2</v>
      </c>
      <c r="B5" s="74">
        <v>2</v>
      </c>
      <c r="C5" s="74">
        <v>1</v>
      </c>
      <c r="D5" s="57">
        <v>0.01</v>
      </c>
      <c r="F5" s="62" t="s">
        <v>223</v>
      </c>
      <c r="G5" s="57">
        <f>'[1]Envelope Prices'!B6</f>
        <v>3.5569999999999997E-2</v>
      </c>
      <c r="H5" s="63">
        <v>1800</v>
      </c>
      <c r="I5" s="64">
        <v>0.2</v>
      </c>
      <c r="J5" s="77">
        <v>0</v>
      </c>
      <c r="O5" s="68" t="s">
        <v>252</v>
      </c>
      <c r="P5" s="61"/>
      <c r="R5">
        <v>4</v>
      </c>
      <c r="S5">
        <v>2</v>
      </c>
      <c r="T5" t="s">
        <v>6</v>
      </c>
      <c r="U5" t="s">
        <v>6</v>
      </c>
      <c r="X5">
        <v>2</v>
      </c>
      <c r="Y5">
        <v>2</v>
      </c>
      <c r="Z5">
        <v>2</v>
      </c>
      <c r="AA5" t="s">
        <v>6</v>
      </c>
      <c r="AB5" t="s">
        <v>6</v>
      </c>
      <c r="AD5">
        <v>4</v>
      </c>
      <c r="AE5">
        <v>2</v>
      </c>
      <c r="AJ5">
        <v>2</v>
      </c>
      <c r="AK5" t="s">
        <v>6</v>
      </c>
      <c r="AL5">
        <v>4</v>
      </c>
      <c r="AM5">
        <v>2</v>
      </c>
      <c r="AN5">
        <v>2</v>
      </c>
    </row>
    <row r="6" spans="1:40" x14ac:dyDescent="0.25">
      <c r="A6" s="73">
        <v>3</v>
      </c>
      <c r="B6" s="74">
        <v>6.5</v>
      </c>
      <c r="C6" s="74">
        <v>7.5</v>
      </c>
      <c r="D6" s="57">
        <v>0.01</v>
      </c>
      <c r="F6" s="62" t="s">
        <v>224</v>
      </c>
      <c r="G6" s="57">
        <f>'[1]Envelope Prices'!B7</f>
        <v>3.2199999999999999E-2</v>
      </c>
      <c r="H6" s="63">
        <v>1800</v>
      </c>
      <c r="I6" s="64">
        <v>0.2</v>
      </c>
      <c r="J6" s="77">
        <v>0</v>
      </c>
      <c r="R6">
        <v>0</v>
      </c>
      <c r="S6">
        <v>0</v>
      </c>
      <c r="T6">
        <v>0</v>
      </c>
      <c r="U6">
        <v>0</v>
      </c>
      <c r="X6">
        <v>0</v>
      </c>
      <c r="Y6">
        <v>2</v>
      </c>
      <c r="Z6">
        <v>0</v>
      </c>
      <c r="AA6">
        <v>0</v>
      </c>
      <c r="AB6">
        <v>0</v>
      </c>
      <c r="AD6">
        <v>0</v>
      </c>
      <c r="AE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 x14ac:dyDescent="0.25">
      <c r="A7" s="75">
        <v>4</v>
      </c>
      <c r="B7" s="76">
        <v>6.5</v>
      </c>
      <c r="C7" s="76">
        <v>7.5</v>
      </c>
      <c r="D7" s="57">
        <v>0.01</v>
      </c>
      <c r="F7" s="62" t="s">
        <v>225</v>
      </c>
      <c r="G7" s="57">
        <f>'[1]Envelope Prices'!B8</f>
        <v>3.5009999999999999E-2</v>
      </c>
      <c r="H7" s="63">
        <v>2000</v>
      </c>
      <c r="I7" s="64">
        <v>0.2</v>
      </c>
      <c r="J7" s="77">
        <v>0</v>
      </c>
      <c r="R7" t="s">
        <v>1</v>
      </c>
      <c r="S7" t="s">
        <v>1</v>
      </c>
      <c r="T7" t="s">
        <v>1</v>
      </c>
      <c r="U7" t="s">
        <v>1</v>
      </c>
      <c r="X7" t="s">
        <v>1</v>
      </c>
      <c r="Y7" t="s">
        <v>1</v>
      </c>
      <c r="Z7" t="s">
        <v>1</v>
      </c>
      <c r="AA7" t="s">
        <v>1</v>
      </c>
      <c r="AB7" t="s">
        <v>1</v>
      </c>
      <c r="AD7" t="s">
        <v>1</v>
      </c>
      <c r="AE7" t="s">
        <v>1</v>
      </c>
      <c r="AJ7" t="s">
        <v>1</v>
      </c>
      <c r="AK7" t="s">
        <v>1</v>
      </c>
      <c r="AL7" t="s">
        <v>1</v>
      </c>
      <c r="AM7" t="s">
        <v>1</v>
      </c>
      <c r="AN7" t="s">
        <v>1</v>
      </c>
    </row>
    <row r="8" spans="1:40" x14ac:dyDescent="0.25">
      <c r="A8" s="58"/>
      <c r="B8" s="58"/>
      <c r="C8" s="58"/>
      <c r="D8" s="58"/>
      <c r="F8" s="65" t="s">
        <v>226</v>
      </c>
      <c r="G8" s="57">
        <f>'[1]Envelope Prices'!B9</f>
        <v>3.5900000000000001E-2</v>
      </c>
      <c r="H8" s="63">
        <v>2000</v>
      </c>
      <c r="I8" s="64">
        <v>0.15</v>
      </c>
      <c r="J8" s="77">
        <v>0</v>
      </c>
      <c r="R8">
        <v>1000</v>
      </c>
      <c r="S8">
        <v>1000</v>
      </c>
      <c r="T8">
        <v>1000</v>
      </c>
      <c r="U8">
        <v>1000</v>
      </c>
      <c r="X8">
        <v>1000</v>
      </c>
      <c r="Y8">
        <v>1000</v>
      </c>
      <c r="Z8">
        <v>1000</v>
      </c>
      <c r="AA8">
        <v>1000</v>
      </c>
      <c r="AB8">
        <v>1000</v>
      </c>
      <c r="AD8">
        <v>1000</v>
      </c>
      <c r="AE8">
        <v>1000</v>
      </c>
      <c r="AF8">
        <v>0</v>
      </c>
      <c r="AG8">
        <v>0</v>
      </c>
      <c r="AH8">
        <v>0</v>
      </c>
      <c r="AJ8">
        <v>1000</v>
      </c>
      <c r="AK8">
        <v>1000</v>
      </c>
      <c r="AL8">
        <v>1000</v>
      </c>
      <c r="AM8">
        <v>1000</v>
      </c>
      <c r="AN8">
        <v>1000</v>
      </c>
    </row>
    <row r="9" spans="1:40" x14ac:dyDescent="0.25">
      <c r="A9" s="58"/>
      <c r="B9" s="58"/>
      <c r="C9" s="58"/>
      <c r="D9" s="58"/>
      <c r="F9" s="65" t="s">
        <v>227</v>
      </c>
      <c r="G9" s="57">
        <f>'[1]Envelope Prices'!B10</f>
        <v>2.8799999999999999E-2</v>
      </c>
      <c r="H9" s="63">
        <v>2000</v>
      </c>
      <c r="I9" s="64">
        <v>0.15</v>
      </c>
      <c r="J9" s="77">
        <v>0</v>
      </c>
    </row>
    <row r="10" spans="1:40" x14ac:dyDescent="0.25">
      <c r="A10" s="58"/>
      <c r="B10" s="58"/>
      <c r="C10" s="58"/>
      <c r="D10" s="58"/>
      <c r="F10" s="62" t="s">
        <v>228</v>
      </c>
      <c r="G10" s="57">
        <f>'[1]Envelope Prices'!B11</f>
        <v>4.0170000000000004E-2</v>
      </c>
      <c r="H10" s="63">
        <v>2000</v>
      </c>
      <c r="I10" s="64">
        <v>0.15</v>
      </c>
      <c r="J10" s="77">
        <v>0</v>
      </c>
    </row>
    <row r="11" spans="1:40" x14ac:dyDescent="0.25">
      <c r="A11" s="58"/>
      <c r="B11" s="58"/>
      <c r="C11" s="58"/>
      <c r="D11" s="58"/>
      <c r="F11" s="62" t="s">
        <v>229</v>
      </c>
      <c r="G11" s="57">
        <f>'[1]Envelope Prices'!B12</f>
        <v>2.8879999999999999E-2</v>
      </c>
      <c r="H11" s="63">
        <v>2000</v>
      </c>
      <c r="I11" s="64">
        <v>0.15</v>
      </c>
      <c r="J11" s="77">
        <v>0</v>
      </c>
    </row>
    <row r="12" spans="1:40" x14ac:dyDescent="0.25">
      <c r="A12" s="58"/>
      <c r="B12" s="58"/>
      <c r="C12" s="58"/>
      <c r="D12" s="58"/>
      <c r="F12" s="62" t="s">
        <v>230</v>
      </c>
      <c r="G12" s="57">
        <f>'[1]Envelope Prices'!B13</f>
        <v>9.9849999999999994E-2</v>
      </c>
      <c r="H12" s="63">
        <v>2000</v>
      </c>
      <c r="I12" s="64">
        <v>0.15</v>
      </c>
      <c r="J12" s="77">
        <v>0</v>
      </c>
    </row>
    <row r="13" spans="1:40" x14ac:dyDescent="0.25">
      <c r="F13" s="62" t="s">
        <v>231</v>
      </c>
      <c r="G13" s="57">
        <f>'[1]Envelope Prices'!B14</f>
        <v>3.9780000000000003E-2</v>
      </c>
      <c r="H13" s="63">
        <v>2000</v>
      </c>
      <c r="I13" s="64">
        <v>0.15</v>
      </c>
      <c r="J13" s="77">
        <v>0</v>
      </c>
    </row>
    <row r="14" spans="1:40" x14ac:dyDescent="0.25">
      <c r="F14" s="62" t="s">
        <v>232</v>
      </c>
      <c r="G14" s="57">
        <f>'[1]Envelope Prices'!B15</f>
        <v>1.9449999999999999E-2</v>
      </c>
      <c r="H14" s="63">
        <v>3000</v>
      </c>
      <c r="I14" s="64">
        <v>0.15</v>
      </c>
      <c r="J14" s="77">
        <v>0</v>
      </c>
    </row>
    <row r="15" spans="1:40" x14ac:dyDescent="0.25">
      <c r="F15" s="62" t="s">
        <v>233</v>
      </c>
      <c r="G15" s="57">
        <f>'[1]Envelope Prices'!B16</f>
        <v>1.12E-2</v>
      </c>
      <c r="H15" s="63">
        <v>2500</v>
      </c>
      <c r="I15" s="64">
        <v>0.15</v>
      </c>
      <c r="J15" s="77">
        <v>0</v>
      </c>
    </row>
    <row r="16" spans="1:40" x14ac:dyDescent="0.25">
      <c r="F16" s="62" t="s">
        <v>234</v>
      </c>
      <c r="G16" s="57">
        <f>'[1]Envelope Prices'!B17</f>
        <v>3.0539999999999998E-2</v>
      </c>
      <c r="H16" s="63">
        <v>750</v>
      </c>
      <c r="I16" s="64">
        <v>0.4</v>
      </c>
      <c r="J16" s="77">
        <v>4000</v>
      </c>
      <c r="L16" s="78"/>
    </row>
    <row r="17" spans="6:12" x14ac:dyDescent="0.25">
      <c r="F17" s="62" t="s">
        <v>235</v>
      </c>
      <c r="G17" s="57">
        <f>'[1]Envelope Prices'!B18</f>
        <v>3.8399999999999997E-2</v>
      </c>
      <c r="H17" s="63">
        <v>2500</v>
      </c>
      <c r="I17" s="64">
        <v>0.15</v>
      </c>
      <c r="J17" s="77">
        <v>0</v>
      </c>
    </row>
    <row r="18" spans="6:12" x14ac:dyDescent="0.25">
      <c r="F18" s="62" t="s">
        <v>236</v>
      </c>
      <c r="G18" s="57">
        <f>'[1]Envelope Prices'!B19</f>
        <v>3.245E-2</v>
      </c>
      <c r="H18" s="63">
        <v>2500</v>
      </c>
      <c r="I18" s="64">
        <v>0.15</v>
      </c>
      <c r="J18" s="77">
        <v>0</v>
      </c>
    </row>
    <row r="19" spans="6:12" x14ac:dyDescent="0.25">
      <c r="F19" s="62" t="s">
        <v>237</v>
      </c>
      <c r="G19" s="57">
        <f>'[1]Envelope Prices'!B20</f>
        <v>2.9350000000000001E-2</v>
      </c>
      <c r="H19" s="63">
        <v>2500</v>
      </c>
      <c r="I19" s="64">
        <v>0.15</v>
      </c>
      <c r="J19" s="77">
        <v>0</v>
      </c>
      <c r="L19" s="79"/>
    </row>
    <row r="20" spans="6:12" x14ac:dyDescent="0.25">
      <c r="F20" s="62" t="s">
        <v>238</v>
      </c>
      <c r="G20" s="57">
        <f>'[1]Envelope Prices'!B21</f>
        <v>1.9449999999999999E-2</v>
      </c>
      <c r="H20" s="63">
        <v>2500</v>
      </c>
      <c r="I20" s="64">
        <v>0.15</v>
      </c>
      <c r="J20" s="77">
        <v>0</v>
      </c>
    </row>
    <row r="21" spans="6:12" x14ac:dyDescent="0.25">
      <c r="F21" s="62" t="s">
        <v>239</v>
      </c>
      <c r="G21" s="57">
        <f>'[1]Envelope Prices'!B22</f>
        <v>2.5989999999999999E-2</v>
      </c>
      <c r="H21" s="63">
        <v>2500</v>
      </c>
      <c r="I21" s="64">
        <v>0.15</v>
      </c>
      <c r="J21" s="77">
        <v>0</v>
      </c>
    </row>
    <row r="22" spans="6:12" x14ac:dyDescent="0.25">
      <c r="F22" s="62" t="s">
        <v>240</v>
      </c>
      <c r="G22" s="57">
        <f>'[1]Envelope Prices'!B23</f>
        <v>5.5370000000000003E-2</v>
      </c>
      <c r="H22" s="63">
        <v>2000</v>
      </c>
      <c r="I22" s="64">
        <v>0.4</v>
      </c>
      <c r="J22" s="77">
        <v>0</v>
      </c>
    </row>
    <row r="23" spans="6:12" x14ac:dyDescent="0.25">
      <c r="F23" s="62" t="s">
        <v>241</v>
      </c>
      <c r="G23" s="57">
        <f>'[1]Envelope Prices'!B24</f>
        <v>3.5000000000000003E-2</v>
      </c>
      <c r="H23" s="63">
        <v>1200</v>
      </c>
      <c r="I23" s="64">
        <v>0.4</v>
      </c>
      <c r="J23" s="77">
        <v>0</v>
      </c>
    </row>
    <row r="24" spans="6:12" x14ac:dyDescent="0.25">
      <c r="F24" s="62" t="s">
        <v>242</v>
      </c>
      <c r="G24" s="57">
        <f>'[1]Envelope Prices'!B25</f>
        <v>3.2680000000000001E-2</v>
      </c>
      <c r="H24" s="63">
        <v>1200</v>
      </c>
      <c r="I24" s="64">
        <v>0.4</v>
      </c>
      <c r="J24" s="77">
        <v>0</v>
      </c>
    </row>
    <row r="25" spans="6:12" x14ac:dyDescent="0.25">
      <c r="F25" s="62" t="s">
        <v>243</v>
      </c>
      <c r="G25" s="57">
        <f>'[1]Envelope Prices'!B26</f>
        <v>4.299E-2</v>
      </c>
      <c r="H25" s="63">
        <v>1200</v>
      </c>
      <c r="I25" s="64">
        <v>0.4</v>
      </c>
      <c r="J25" s="77">
        <v>0</v>
      </c>
    </row>
    <row r="26" spans="6:12" x14ac:dyDescent="0.25">
      <c r="F26" s="62" t="s">
        <v>244</v>
      </c>
      <c r="G26" s="57">
        <f>'[1]Envelope Prices'!B27</f>
        <v>5.0990000000000001E-2</v>
      </c>
      <c r="H26" s="63">
        <v>750</v>
      </c>
      <c r="I26" s="64">
        <v>0.4</v>
      </c>
      <c r="J26" s="77">
        <v>0</v>
      </c>
    </row>
    <row r="27" spans="6:12" x14ac:dyDescent="0.25">
      <c r="F27" s="62" t="s">
        <v>245</v>
      </c>
      <c r="G27" s="57">
        <f>'[1]Envelope Prices'!B28</f>
        <v>8.2379999999999995E-2</v>
      </c>
      <c r="H27" s="63">
        <v>750</v>
      </c>
      <c r="I27" s="64">
        <v>0.4</v>
      </c>
      <c r="J27" s="77">
        <v>0</v>
      </c>
    </row>
    <row r="28" spans="6:12" x14ac:dyDescent="0.25">
      <c r="F28" s="62" t="s">
        <v>246</v>
      </c>
      <c r="G28" s="57">
        <f>'[1]Envelope Prices'!B29</f>
        <v>7.1999999999999995E-2</v>
      </c>
      <c r="H28" s="63">
        <v>750</v>
      </c>
      <c r="I28" s="64">
        <v>0.4</v>
      </c>
      <c r="J28" s="77">
        <v>0</v>
      </c>
    </row>
  </sheetData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9"/>
  <sheetViews>
    <sheetView tabSelected="1" zoomScaleNormal="100" workbookViewId="0">
      <selection activeCell="C16" sqref="C16"/>
    </sheetView>
  </sheetViews>
  <sheetFormatPr defaultRowHeight="12.75" x14ac:dyDescent="0.2"/>
  <cols>
    <col min="1" max="1" width="30.85546875" style="87" customWidth="1"/>
    <col min="2" max="6" width="25" style="87" customWidth="1"/>
    <col min="7" max="7" width="4.7109375" style="87" customWidth="1"/>
    <col min="8" max="8" width="11" style="87" customWidth="1"/>
    <col min="9" max="9" width="45.5703125" style="87" customWidth="1"/>
    <col min="10" max="10" width="11.5703125" style="87" customWidth="1"/>
    <col min="11" max="11" width="11.5703125" style="87" bestFit="1" customWidth="1"/>
    <col min="12" max="16384" width="9.140625" style="87"/>
  </cols>
  <sheetData>
    <row r="1" spans="1:13" ht="15" customHeight="1" x14ac:dyDescent="0.2">
      <c r="A1" s="290" t="s">
        <v>26</v>
      </c>
      <c r="B1" s="291"/>
      <c r="C1" s="292"/>
      <c r="D1" s="121" t="s">
        <v>209</v>
      </c>
      <c r="E1" s="121" t="s">
        <v>210</v>
      </c>
      <c r="F1" s="122" t="s">
        <v>203</v>
      </c>
    </row>
    <row r="2" spans="1:13" ht="13.5" thickBot="1" x14ac:dyDescent="0.25">
      <c r="A2" s="293"/>
      <c r="B2" s="294"/>
      <c r="C2" s="295"/>
      <c r="D2" s="53"/>
      <c r="E2" s="53"/>
      <c r="F2" s="118">
        <f ca="1">TODAY()</f>
        <v>43539</v>
      </c>
    </row>
    <row r="3" spans="1:13" ht="13.5" thickBot="1" x14ac:dyDescent="0.25">
      <c r="A3" s="123"/>
      <c r="B3" s="70" t="s">
        <v>56</v>
      </c>
      <c r="C3" s="71" t="s">
        <v>57</v>
      </c>
      <c r="D3" s="71" t="s">
        <v>58</v>
      </c>
      <c r="E3" s="71" t="s">
        <v>59</v>
      </c>
      <c r="F3" s="72" t="s">
        <v>60</v>
      </c>
    </row>
    <row r="4" spans="1:13" ht="28.5" customHeight="1" x14ac:dyDescent="0.2">
      <c r="A4" s="119" t="s">
        <v>23</v>
      </c>
      <c r="B4" s="92"/>
      <c r="C4" s="92"/>
      <c r="D4" s="92"/>
      <c r="E4" s="92"/>
      <c r="F4" s="94"/>
    </row>
    <row r="5" spans="1:13" ht="28.5" customHeight="1" x14ac:dyDescent="0.2">
      <c r="A5" s="119" t="s">
        <v>61</v>
      </c>
      <c r="B5" s="95"/>
      <c r="C5" s="95"/>
      <c r="D5" s="95"/>
      <c r="E5" s="95"/>
      <c r="F5" s="96"/>
    </row>
    <row r="6" spans="1:13" ht="28.5" customHeight="1" x14ac:dyDescent="0.2">
      <c r="A6" s="115" t="s">
        <v>270</v>
      </c>
      <c r="B6" s="69"/>
      <c r="C6" s="69"/>
      <c r="D6" s="69"/>
      <c r="E6" s="69"/>
      <c r="F6" s="42"/>
    </row>
    <row r="7" spans="1:13" ht="28.5" customHeight="1" x14ac:dyDescent="0.2">
      <c r="A7" s="115" t="s">
        <v>271</v>
      </c>
      <c r="B7" s="69"/>
      <c r="C7" s="69"/>
      <c r="D7" s="69"/>
      <c r="E7" s="69"/>
      <c r="F7" s="42"/>
    </row>
    <row r="8" spans="1:13" ht="28.5" customHeight="1" x14ac:dyDescent="0.2">
      <c r="A8" s="115" t="s">
        <v>68</v>
      </c>
      <c r="B8" s="69"/>
      <c r="C8" s="69"/>
      <c r="D8" s="69"/>
      <c r="E8" s="69"/>
      <c r="F8" s="42"/>
    </row>
    <row r="9" spans="1:13" ht="28.5" customHeight="1" x14ac:dyDescent="0.2">
      <c r="A9" s="115" t="s">
        <v>69</v>
      </c>
      <c r="B9" s="69"/>
      <c r="C9" s="69"/>
      <c r="D9" s="69"/>
      <c r="E9" s="69"/>
      <c r="F9" s="42"/>
    </row>
    <row r="10" spans="1:13" ht="28.5" customHeight="1" x14ac:dyDescent="0.2">
      <c r="A10" s="115" t="s">
        <v>208</v>
      </c>
      <c r="B10" s="95"/>
      <c r="C10" s="95"/>
      <c r="D10" s="95"/>
      <c r="E10" s="95"/>
      <c r="F10" s="96"/>
      <c r="H10" s="97" t="s">
        <v>254</v>
      </c>
      <c r="I10" s="98" t="s">
        <v>257</v>
      </c>
      <c r="J10" s="98"/>
      <c r="K10" s="98"/>
      <c r="L10" s="98"/>
    </row>
    <row r="11" spans="1:13" ht="28.5" customHeight="1" x14ac:dyDescent="0.2">
      <c r="A11" s="115" t="s">
        <v>268</v>
      </c>
      <c r="B11" s="99"/>
      <c r="C11" s="99"/>
      <c r="D11" s="99"/>
      <c r="E11" s="99"/>
      <c r="F11" s="100"/>
      <c r="H11" s="101"/>
      <c r="I11" s="114" t="s">
        <v>256</v>
      </c>
      <c r="J11" s="98"/>
      <c r="K11" s="98"/>
      <c r="L11" s="98"/>
    </row>
    <row r="12" spans="1:13" ht="28.5" customHeight="1" x14ac:dyDescent="0.2">
      <c r="A12" s="119" t="s">
        <v>70</v>
      </c>
      <c r="B12" s="69"/>
      <c r="C12" s="69"/>
      <c r="D12" s="69"/>
      <c r="E12" s="69"/>
      <c r="F12" s="42"/>
      <c r="H12" s="102"/>
      <c r="I12" s="114" t="s">
        <v>258</v>
      </c>
      <c r="J12" s="98"/>
      <c r="K12" s="98"/>
      <c r="L12" s="98"/>
    </row>
    <row r="13" spans="1:13" ht="28.5" customHeight="1" x14ac:dyDescent="0.2">
      <c r="A13" s="119" t="s">
        <v>71</v>
      </c>
      <c r="B13" s="69"/>
      <c r="C13" s="69"/>
      <c r="D13" s="69"/>
      <c r="E13" s="69"/>
      <c r="F13" s="42"/>
      <c r="H13" s="103"/>
      <c r="I13" s="114" t="s">
        <v>259</v>
      </c>
      <c r="J13" s="98"/>
      <c r="K13" s="98"/>
      <c r="L13" s="104"/>
      <c r="M13" s="104"/>
    </row>
    <row r="14" spans="1:13" ht="28.5" customHeight="1" x14ac:dyDescent="0.2">
      <c r="A14" s="119" t="s">
        <v>72</v>
      </c>
      <c r="B14" s="95"/>
      <c r="C14" s="95"/>
      <c r="D14" s="95"/>
      <c r="E14" s="95"/>
      <c r="F14" s="96"/>
      <c r="I14" s="98"/>
      <c r="J14" s="98"/>
      <c r="K14" s="98"/>
      <c r="L14" s="104"/>
      <c r="M14" s="104"/>
    </row>
    <row r="15" spans="1:13" x14ac:dyDescent="0.2">
      <c r="A15" s="120" t="s">
        <v>73</v>
      </c>
      <c r="B15" s="80"/>
      <c r="C15" s="81"/>
      <c r="D15" s="81"/>
      <c r="E15" s="81"/>
      <c r="F15" s="82"/>
      <c r="H15" s="104"/>
      <c r="I15" s="98"/>
      <c r="J15" s="98"/>
      <c r="K15" s="98"/>
      <c r="L15" s="104"/>
      <c r="M15" s="104"/>
    </row>
    <row r="16" spans="1:13" x14ac:dyDescent="0.2">
      <c r="A16" s="116" t="s">
        <v>74</v>
      </c>
      <c r="B16" s="124">
        <f>IFERROR(ROUND(priceEach(B15,B$4:B$14),3), 0)</f>
        <v>0</v>
      </c>
      <c r="C16" s="125">
        <f>IFERROR(ROUND(priceEach(C15,C$4:C$14),3), 0)</f>
        <v>0</v>
      </c>
      <c r="D16" s="125">
        <f>IFERROR(ROUND(priceEach(D15,D$4:D$14),3), 0)</f>
        <v>0</v>
      </c>
      <c r="E16" s="125">
        <f>IFERROR(ROUND(priceEach(E15,E$4:E$14),3), 0)</f>
        <v>0</v>
      </c>
      <c r="F16" s="126">
        <f>IFERROR(ROUND(priceEach(F15,F$4:F$14),3), 0)</f>
        <v>0</v>
      </c>
      <c r="H16" s="105"/>
      <c r="I16" s="98"/>
      <c r="J16" s="98"/>
      <c r="K16" s="98"/>
      <c r="L16" s="104"/>
      <c r="M16" s="104"/>
    </row>
    <row r="17" spans="1:13" x14ac:dyDescent="0.2">
      <c r="A17" s="116" t="s">
        <v>75</v>
      </c>
      <c r="B17" s="127">
        <f>B16*B15</f>
        <v>0</v>
      </c>
      <c r="C17" s="128">
        <f t="shared" ref="C17:F17" si="0">C16*C15</f>
        <v>0</v>
      </c>
      <c r="D17" s="128">
        <f t="shared" si="0"/>
        <v>0</v>
      </c>
      <c r="E17" s="128">
        <f t="shared" si="0"/>
        <v>0</v>
      </c>
      <c r="F17" s="129">
        <f t="shared" si="0"/>
        <v>0</v>
      </c>
      <c r="H17" s="106"/>
      <c r="I17" s="98"/>
      <c r="J17" s="98"/>
      <c r="K17" s="98"/>
      <c r="L17" s="104"/>
      <c r="M17" s="104"/>
    </row>
    <row r="18" spans="1:13" x14ac:dyDescent="0.2">
      <c r="A18" s="120" t="s">
        <v>76</v>
      </c>
      <c r="B18" s="80"/>
      <c r="C18" s="81"/>
      <c r="D18" s="81"/>
      <c r="E18" s="81"/>
      <c r="F18" s="82"/>
      <c r="I18" s="98"/>
      <c r="J18" s="98"/>
      <c r="K18" s="98"/>
      <c r="L18" s="104"/>
      <c r="M18" s="104"/>
    </row>
    <row r="19" spans="1:13" x14ac:dyDescent="0.2">
      <c r="A19" s="116" t="s">
        <v>74</v>
      </c>
      <c r="B19" s="124">
        <f>IFERROR(ROUND(priceEach(B18,B$4:B$14),3), 0)</f>
        <v>0</v>
      </c>
      <c r="C19" s="125">
        <f>IFERROR(ROUND(priceEach(C18,C$4:C$14),3), 0)</f>
        <v>0</v>
      </c>
      <c r="D19" s="125">
        <f>IFERROR(ROUND(priceEach(D18,D$4:D$14),3), 0)</f>
        <v>0</v>
      </c>
      <c r="E19" s="125">
        <f>IFERROR(ROUND(priceEach(E18,E$4:E$14),3), 0)</f>
        <v>0</v>
      </c>
      <c r="F19" s="126">
        <f>IFERROR(ROUND(priceEach(F18,F$4:F$14),3), 0)</f>
        <v>0</v>
      </c>
      <c r="I19" s="98"/>
      <c r="J19" s="98"/>
      <c r="K19" s="98"/>
      <c r="L19" s="104"/>
      <c r="M19" s="104"/>
    </row>
    <row r="20" spans="1:13" x14ac:dyDescent="0.2">
      <c r="A20" s="116" t="s">
        <v>77</v>
      </c>
      <c r="B20" s="127">
        <f>B19*B18</f>
        <v>0</v>
      </c>
      <c r="C20" s="128">
        <f t="shared" ref="C20:F20" si="1">C19*C18</f>
        <v>0</v>
      </c>
      <c r="D20" s="128">
        <f t="shared" si="1"/>
        <v>0</v>
      </c>
      <c r="E20" s="128">
        <f t="shared" si="1"/>
        <v>0</v>
      </c>
      <c r="F20" s="129">
        <f t="shared" si="1"/>
        <v>0</v>
      </c>
      <c r="H20" s="107"/>
      <c r="I20" s="98"/>
      <c r="J20" s="98"/>
      <c r="K20" s="98"/>
      <c r="L20" s="104"/>
      <c r="M20" s="104"/>
    </row>
    <row r="21" spans="1:13" x14ac:dyDescent="0.2">
      <c r="A21" s="120" t="s">
        <v>78</v>
      </c>
      <c r="B21" s="80"/>
      <c r="C21" s="81"/>
      <c r="D21" s="81"/>
      <c r="E21" s="81"/>
      <c r="F21" s="82"/>
      <c r="L21" s="104"/>
      <c r="M21" s="104"/>
    </row>
    <row r="22" spans="1:13" x14ac:dyDescent="0.2">
      <c r="A22" s="116" t="s">
        <v>74</v>
      </c>
      <c r="B22" s="124">
        <f>IFERROR(ROUND(priceEach(B21,B$4:B$14),3), 0)</f>
        <v>0</v>
      </c>
      <c r="C22" s="125">
        <f>IFERROR(ROUND(priceEach(C21,C$4:C$14),3), 0)</f>
        <v>0</v>
      </c>
      <c r="D22" s="125">
        <f>IFERROR(ROUND(priceEach(D21,D$4:D$14),3), 0)</f>
        <v>0</v>
      </c>
      <c r="E22" s="125">
        <f>IFERROR(ROUND(priceEach(E21,E$4:E$14),3), 0)</f>
        <v>0</v>
      </c>
      <c r="F22" s="126">
        <f>IFERROR(ROUND(priceEach(F21,F$4:F$14),3), 0)</f>
        <v>0</v>
      </c>
      <c r="H22" s="55"/>
      <c r="L22" s="104"/>
      <c r="M22" s="104"/>
    </row>
    <row r="23" spans="1:13" x14ac:dyDescent="0.2">
      <c r="A23" s="116" t="s">
        <v>79</v>
      </c>
      <c r="B23" s="127">
        <f>B22*B21</f>
        <v>0</v>
      </c>
      <c r="C23" s="128">
        <f t="shared" ref="C23:F23" si="2">C22*C21</f>
        <v>0</v>
      </c>
      <c r="D23" s="128">
        <f t="shared" si="2"/>
        <v>0</v>
      </c>
      <c r="E23" s="128">
        <f t="shared" si="2"/>
        <v>0</v>
      </c>
      <c r="F23" s="129">
        <f t="shared" si="2"/>
        <v>0</v>
      </c>
      <c r="L23" s="104"/>
      <c r="M23" s="104"/>
    </row>
    <row r="24" spans="1:13" x14ac:dyDescent="0.2">
      <c r="A24" s="120" t="s">
        <v>80</v>
      </c>
      <c r="B24" s="80"/>
      <c r="C24" s="81"/>
      <c r="D24" s="81"/>
      <c r="E24" s="81"/>
      <c r="F24" s="82"/>
      <c r="L24" s="104"/>
      <c r="M24" s="104"/>
    </row>
    <row r="25" spans="1:13" x14ac:dyDescent="0.2">
      <c r="A25" s="116" t="s">
        <v>74</v>
      </c>
      <c r="B25" s="124">
        <f>IFERROR(ROUND(priceEach(B24,B$4:B$14),3), 0)</f>
        <v>0</v>
      </c>
      <c r="C25" s="125">
        <f>IFERROR(ROUND(priceEach(C24,C$4:C$14),3), 0)</f>
        <v>0</v>
      </c>
      <c r="D25" s="125">
        <f>IFERROR(ROUND(priceEach(D24,D$4:D$14),3), 0)</f>
        <v>0</v>
      </c>
      <c r="E25" s="125">
        <f>IFERROR(ROUND(priceEach(E24,E$4:E$14),3), 0)</f>
        <v>0</v>
      </c>
      <c r="F25" s="126">
        <f>IFERROR(ROUND(priceEach(F24,F$4:F$14),3), 0)</f>
        <v>0</v>
      </c>
      <c r="L25" s="104"/>
      <c r="M25" s="104"/>
    </row>
    <row r="26" spans="1:13" x14ac:dyDescent="0.2">
      <c r="A26" s="116" t="s">
        <v>81</v>
      </c>
      <c r="B26" s="127">
        <f>B25*B24</f>
        <v>0</v>
      </c>
      <c r="C26" s="128">
        <f t="shared" ref="C26:F26" si="3">C25*C24</f>
        <v>0</v>
      </c>
      <c r="D26" s="128">
        <f t="shared" si="3"/>
        <v>0</v>
      </c>
      <c r="E26" s="128">
        <f t="shared" si="3"/>
        <v>0</v>
      </c>
      <c r="F26" s="129">
        <f t="shared" si="3"/>
        <v>0</v>
      </c>
      <c r="L26" s="104"/>
      <c r="M26" s="104"/>
    </row>
    <row r="27" spans="1:13" x14ac:dyDescent="0.2">
      <c r="A27" s="120" t="s">
        <v>82</v>
      </c>
      <c r="B27" s="80"/>
      <c r="C27" s="81"/>
      <c r="D27" s="81"/>
      <c r="E27" s="81"/>
      <c r="F27" s="82"/>
    </row>
    <row r="28" spans="1:13" x14ac:dyDescent="0.2">
      <c r="A28" s="116" t="s">
        <v>74</v>
      </c>
      <c r="B28" s="124">
        <f>IFERROR(ROUND(priceEach(B27,B$4:B$14),3), 0)</f>
        <v>0</v>
      </c>
      <c r="C28" s="125">
        <f>IFERROR(ROUND(priceEach(C27,C$4:C$14),3), 0)</f>
        <v>0</v>
      </c>
      <c r="D28" s="125">
        <f>IFERROR(ROUND(priceEach(D27,D$4:D$14),3), 0)</f>
        <v>0</v>
      </c>
      <c r="E28" s="125">
        <f>IFERROR(ROUND(priceEach(E27,E$4:E$14),3), 0)</f>
        <v>0</v>
      </c>
      <c r="F28" s="126">
        <f>IFERROR(ROUND(priceEach(F27,F$4:F$14),3), 0)</f>
        <v>0</v>
      </c>
    </row>
    <row r="29" spans="1:13" ht="13.5" thickBot="1" x14ac:dyDescent="0.25">
      <c r="A29" s="117" t="s">
        <v>83</v>
      </c>
      <c r="B29" s="130">
        <f>B28*B27</f>
        <v>0</v>
      </c>
      <c r="C29" s="131">
        <f t="shared" ref="C29:F29" si="4">C28*C27</f>
        <v>0</v>
      </c>
      <c r="D29" s="131">
        <f t="shared" si="4"/>
        <v>0</v>
      </c>
      <c r="E29" s="131">
        <f t="shared" si="4"/>
        <v>0</v>
      </c>
      <c r="F29" s="132">
        <f t="shared" si="4"/>
        <v>0</v>
      </c>
    </row>
  </sheetData>
  <sheetProtection password="8D2B" sheet="1" objects="1" scenarios="1"/>
  <protectedRanges>
    <protectedRange sqref="B18:F18 A3:D3 A2:F2 B21:F21 B24:F24 B27:F27 A4:F15" name="Q1"/>
    <protectedRange sqref="A18" name="Range2"/>
    <protectedRange sqref="A21" name="Range3"/>
    <protectedRange sqref="A24" name="Range4"/>
    <protectedRange sqref="A27" name="Range5"/>
  </protectedRanges>
  <mergeCells count="2">
    <mergeCell ref="A1:C1"/>
    <mergeCell ref="A2:C2"/>
  </mergeCells>
  <conditionalFormatting sqref="B6:B7 F6:F7">
    <cfRule type="expression" dxfId="20" priority="26">
      <formula>IF(B$5&lt;&gt;"Five Maples stock",TRUE,FALSE)</formula>
    </cfRule>
  </conditionalFormatting>
  <conditionalFormatting sqref="B8:B11 F8:F11">
    <cfRule type="expression" dxfId="19" priority="25">
      <formula>IF(B$5="Five Maples stock", TRUE, FALSE)</formula>
    </cfRule>
  </conditionalFormatting>
  <conditionalFormatting sqref="B6:B14 F6:F14">
    <cfRule type="expression" priority="15" stopIfTrue="1">
      <formula>IF(B$5="",TRUE,FALSE)</formula>
    </cfRule>
  </conditionalFormatting>
  <conditionalFormatting sqref="B17:F17 B20:F20 B23:F23 B26:F26 B29:F29">
    <cfRule type="expression" dxfId="18" priority="12">
      <formula>IF(notProfitable(B$4:B$14, B16), TRUE, FALSE)</formula>
    </cfRule>
    <cfRule type="expression" dxfId="17" priority="13">
      <formula>IF(uncompetitive(B$4,B$14,B15), TRUE, FALSE)</formula>
    </cfRule>
    <cfRule type="expression" dxfId="16" priority="14">
      <formula>IF(printShell(B$4,B$5,B$14, B15), TRUE, FALSE)</formula>
    </cfRule>
  </conditionalFormatting>
  <conditionalFormatting sqref="C6:C7">
    <cfRule type="expression" dxfId="15" priority="9">
      <formula>IF(C$5&lt;&gt;"Five Maples stock",TRUE,FALSE)</formula>
    </cfRule>
  </conditionalFormatting>
  <conditionalFormatting sqref="C8:C11">
    <cfRule type="expression" dxfId="14" priority="8">
      <formula>IF(C$5="Five Maples stock", TRUE, FALSE)</formula>
    </cfRule>
  </conditionalFormatting>
  <conditionalFormatting sqref="C6:C14">
    <cfRule type="expression" priority="7" stopIfTrue="1">
      <formula>IF(C$5="",TRUE,FALSE)</formula>
    </cfRule>
  </conditionalFormatting>
  <conditionalFormatting sqref="D6:D7">
    <cfRule type="expression" dxfId="13" priority="6">
      <formula>IF(D$5&lt;&gt;"Five Maples stock",TRUE,FALSE)</formula>
    </cfRule>
  </conditionalFormatting>
  <conditionalFormatting sqref="D8:D11">
    <cfRule type="expression" dxfId="12" priority="5">
      <formula>IF(D$5="Five Maples stock", TRUE, FALSE)</formula>
    </cfRule>
  </conditionalFormatting>
  <conditionalFormatting sqref="D6:D14">
    <cfRule type="expression" priority="4" stopIfTrue="1">
      <formula>IF(D$5="",TRUE,FALSE)</formula>
    </cfRule>
  </conditionalFormatting>
  <conditionalFormatting sqref="E6:E7">
    <cfRule type="expression" dxfId="11" priority="3">
      <formula>IF(E$5&lt;&gt;"Five Maples stock",TRUE,FALSE)</formula>
    </cfRule>
  </conditionalFormatting>
  <conditionalFormatting sqref="E8:E11">
    <cfRule type="expression" dxfId="10" priority="2">
      <formula>IF(E$5="Five Maples stock", TRUE, FALSE)</formula>
    </cfRule>
  </conditionalFormatting>
  <conditionalFormatting sqref="E6:E14">
    <cfRule type="expression" priority="1" stopIfTrue="1">
      <formula>IF(E$5="",TRUE,FALSE)</formula>
    </cfRule>
  </conditionalFormatting>
  <dataValidations count="7">
    <dataValidation type="list" allowBlank="1" showInputMessage="1" showErrorMessage="1" sqref="B5:F5">
      <formula1>INDIRECT("PaperSource[PaperSource]")</formula1>
    </dataValidation>
    <dataValidation type="list" allowBlank="1" showInputMessage="1" showErrorMessage="1" sqref="B4:F4">
      <formula1>INDIRECT("PrintType[Type]")</formula1>
    </dataValidation>
    <dataValidation type="list" allowBlank="1" showInputMessage="1" showErrorMessage="1" sqref="B6:F6">
      <formula1>INDIRECT("MultiUp[FinalSize]")</formula1>
    </dataValidation>
    <dataValidation type="list" allowBlank="1" showInputMessage="1" showErrorMessage="1" sqref="B7:F7">
      <formula1>INDIRECT("HousePaper[PaperName]")</formula1>
    </dataValidation>
    <dataValidation type="list" allowBlank="1" showInputMessage="1" showErrorMessage="1" sqref="B12:F12">
      <formula1>INDIRECT("PrintColor[Front]")</formula1>
    </dataValidation>
    <dataValidation type="list" allowBlank="1" showInputMessage="1" showErrorMessage="1" sqref="B13:F13">
      <formula1>INDIRECT("PrintColor[Back]")</formula1>
    </dataValidation>
    <dataValidation type="list" allowBlank="1" showInputMessage="1" showErrorMessage="1" sqref="B14:F14">
      <formula1>INDIRECT("PrintVar[VariableChoice]")</formula1>
    </dataValidation>
  </dataValidations>
  <pageMargins left="0.7" right="0.7" top="0.75" bottom="0.75" header="0.3" footer="0.3"/>
  <pageSetup scale="78" orientation="landscape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64"/>
  <sheetViews>
    <sheetView zoomScale="85" zoomScaleNormal="85" zoomScaleSheetLayoutView="85" workbookViewId="0">
      <pane ySplit="1" topLeftCell="A2" activePane="bottomLeft" state="frozen"/>
      <selection activeCell="F11" sqref="F11"/>
      <selection pane="bottomLeft" activeCell="C6" sqref="C6"/>
    </sheetView>
  </sheetViews>
  <sheetFormatPr defaultColWidth="12.7109375" defaultRowHeight="27" customHeight="1" x14ac:dyDescent="0.25"/>
  <cols>
    <col min="1" max="1" width="26.28515625" style="144" customWidth="1"/>
    <col min="2" max="2" width="33.85546875" style="144" customWidth="1"/>
    <col min="3" max="3" width="22" style="135" customWidth="1"/>
    <col min="4" max="14" width="15.85546875" style="16" customWidth="1"/>
    <col min="15" max="15" width="15.140625" style="16" customWidth="1"/>
    <col min="16" max="16" width="0" style="16" hidden="1" customWidth="1"/>
    <col min="17" max="16384" width="12.7109375" style="16"/>
  </cols>
  <sheetData>
    <row r="1" spans="1:16" ht="27" customHeight="1" x14ac:dyDescent="0.25">
      <c r="A1" s="133" t="s">
        <v>274</v>
      </c>
      <c r="B1" s="134"/>
      <c r="P1" s="136" t="s">
        <v>275</v>
      </c>
    </row>
    <row r="2" spans="1:16" s="11" customFormat="1" ht="27" customHeight="1" x14ac:dyDescent="0.25">
      <c r="A2" s="137" t="s">
        <v>276</v>
      </c>
      <c r="B2" s="137" t="s">
        <v>277</v>
      </c>
      <c r="C2" s="138" t="s">
        <v>278</v>
      </c>
      <c r="L2" s="6"/>
      <c r="M2" s="6"/>
      <c r="N2" s="8"/>
      <c r="O2" s="6"/>
      <c r="P2" s="136" t="s">
        <v>279</v>
      </c>
    </row>
    <row r="3" spans="1:16" ht="27" customHeight="1" x14ac:dyDescent="0.25">
      <c r="A3" s="139" t="s">
        <v>280</v>
      </c>
      <c r="B3" s="139" t="s">
        <v>281</v>
      </c>
      <c r="C3" s="140">
        <v>185</v>
      </c>
      <c r="L3" s="8"/>
      <c r="M3" s="8"/>
      <c r="N3" s="8"/>
      <c r="O3" s="8"/>
      <c r="P3" s="136" t="s">
        <v>282</v>
      </c>
    </row>
    <row r="4" spans="1:16" ht="27" customHeight="1" x14ac:dyDescent="0.25">
      <c r="A4" s="141" t="s">
        <v>280</v>
      </c>
      <c r="B4" s="141" t="s">
        <v>283</v>
      </c>
      <c r="C4" s="142" t="s">
        <v>284</v>
      </c>
      <c r="L4" s="8"/>
      <c r="M4" s="8"/>
      <c r="N4" s="8"/>
      <c r="O4" s="8"/>
      <c r="P4" s="136" t="s">
        <v>285</v>
      </c>
    </row>
    <row r="5" spans="1:16" ht="27" customHeight="1" x14ac:dyDescent="0.25">
      <c r="A5" s="141" t="s">
        <v>286</v>
      </c>
      <c r="B5" s="141" t="s">
        <v>287</v>
      </c>
      <c r="C5" s="143">
        <v>1</v>
      </c>
      <c r="L5" s="8"/>
      <c r="M5" s="8"/>
      <c r="N5" s="8"/>
      <c r="O5" s="8"/>
      <c r="P5" s="136" t="s">
        <v>288</v>
      </c>
    </row>
    <row r="6" spans="1:16" ht="27" customHeight="1" x14ac:dyDescent="0.25">
      <c r="A6" s="141" t="s">
        <v>286</v>
      </c>
      <c r="B6" s="141" t="s">
        <v>289</v>
      </c>
      <c r="C6" s="143">
        <v>0.5</v>
      </c>
      <c r="L6" s="8"/>
      <c r="M6" s="8"/>
      <c r="N6" s="8"/>
      <c r="O6" s="8"/>
      <c r="P6" s="136" t="s">
        <v>290</v>
      </c>
    </row>
    <row r="7" spans="1:16" ht="27" customHeight="1" x14ac:dyDescent="0.25">
      <c r="A7" s="141" t="s">
        <v>286</v>
      </c>
      <c r="B7" s="141" t="s">
        <v>291</v>
      </c>
      <c r="C7" s="143">
        <v>0.25</v>
      </c>
      <c r="L7" s="8"/>
      <c r="M7" s="8"/>
      <c r="N7" s="8"/>
      <c r="O7" s="8"/>
      <c r="P7" s="136" t="s">
        <v>292</v>
      </c>
    </row>
    <row r="8" spans="1:16" ht="27" customHeight="1" x14ac:dyDescent="0.25">
      <c r="C8" s="145"/>
      <c r="L8" s="8"/>
      <c r="M8" s="8"/>
      <c r="N8" s="8"/>
      <c r="O8" s="8"/>
      <c r="P8" s="136" t="s">
        <v>293</v>
      </c>
    </row>
    <row r="9" spans="1:16" ht="27" customHeight="1" x14ac:dyDescent="0.25">
      <c r="A9" s="146" t="s">
        <v>294</v>
      </c>
      <c r="B9" s="146"/>
      <c r="C9" s="147"/>
      <c r="L9" s="8"/>
      <c r="M9" s="8"/>
      <c r="N9" s="148"/>
      <c r="O9" s="8"/>
      <c r="P9" s="149" t="s">
        <v>295</v>
      </c>
    </row>
    <row r="10" spans="1:16" s="11" customFormat="1" ht="27" customHeight="1" x14ac:dyDescent="0.25">
      <c r="A10" s="150" t="s">
        <v>276</v>
      </c>
      <c r="B10" s="150" t="s">
        <v>277</v>
      </c>
      <c r="C10" s="11" t="s">
        <v>278</v>
      </c>
      <c r="F10" s="54"/>
      <c r="L10" s="6"/>
      <c r="M10" s="6"/>
      <c r="N10" s="8"/>
      <c r="O10" s="6"/>
      <c r="P10" s="136" t="s">
        <v>296</v>
      </c>
    </row>
    <row r="11" spans="1:16" ht="27" customHeight="1" x14ac:dyDescent="0.25">
      <c r="A11" s="144" t="s">
        <v>297</v>
      </c>
      <c r="B11" s="144" t="s">
        <v>298</v>
      </c>
      <c r="C11" s="151">
        <v>85</v>
      </c>
      <c r="L11" s="8"/>
      <c r="M11" s="8"/>
      <c r="N11" s="8"/>
      <c r="O11" s="8"/>
      <c r="P11" s="136" t="s">
        <v>299</v>
      </c>
    </row>
    <row r="12" spans="1:16" ht="27" customHeight="1" x14ac:dyDescent="0.25">
      <c r="A12" s="144" t="s">
        <v>300</v>
      </c>
      <c r="B12" s="144" t="s">
        <v>301</v>
      </c>
      <c r="C12" s="151">
        <v>102.5</v>
      </c>
      <c r="L12" s="8"/>
      <c r="M12" s="8"/>
      <c r="N12" s="8"/>
      <c r="O12" s="8"/>
      <c r="P12" s="136" t="s">
        <v>302</v>
      </c>
    </row>
    <row r="13" spans="1:16" ht="27" customHeight="1" x14ac:dyDescent="0.25">
      <c r="A13" s="144" t="s">
        <v>303</v>
      </c>
      <c r="B13" s="144" t="s">
        <v>304</v>
      </c>
      <c r="C13" s="151">
        <v>25</v>
      </c>
      <c r="L13" s="8"/>
      <c r="M13" s="8"/>
      <c r="N13" s="8"/>
      <c r="O13" s="8"/>
      <c r="P13" s="8"/>
    </row>
    <row r="14" spans="1:16" ht="27" customHeight="1" x14ac:dyDescent="0.25">
      <c r="A14" s="144" t="s">
        <v>303</v>
      </c>
      <c r="B14" s="144" t="s">
        <v>305</v>
      </c>
      <c r="C14" s="151">
        <v>50</v>
      </c>
      <c r="L14" s="8"/>
      <c r="M14" s="8"/>
      <c r="N14" s="8"/>
      <c r="O14" s="8"/>
      <c r="P14" s="8"/>
    </row>
    <row r="15" spans="1:16" ht="27" customHeight="1" x14ac:dyDescent="0.25">
      <c r="A15" s="144" t="s">
        <v>303</v>
      </c>
      <c r="B15" s="144" t="s">
        <v>306</v>
      </c>
      <c r="C15" s="151">
        <v>15</v>
      </c>
      <c r="L15" s="8"/>
      <c r="M15" s="8"/>
      <c r="N15" s="8"/>
      <c r="O15" s="8"/>
      <c r="P15" s="8"/>
    </row>
    <row r="16" spans="1:16" ht="27" customHeight="1" x14ac:dyDescent="0.25">
      <c r="A16" s="144" t="s">
        <v>303</v>
      </c>
      <c r="B16" s="144" t="s">
        <v>307</v>
      </c>
      <c r="C16" s="151">
        <v>25</v>
      </c>
    </row>
    <row r="17" spans="1:3" ht="27" customHeight="1" x14ac:dyDescent="0.25">
      <c r="A17" s="144" t="s">
        <v>308</v>
      </c>
      <c r="B17" s="144" t="s">
        <v>309</v>
      </c>
      <c r="C17" s="151">
        <v>30</v>
      </c>
    </row>
    <row r="18" spans="1:3" ht="27" customHeight="1" x14ac:dyDescent="0.25">
      <c r="A18" s="144" t="s">
        <v>303</v>
      </c>
      <c r="B18" s="144" t="s">
        <v>310</v>
      </c>
      <c r="C18" s="151">
        <v>15</v>
      </c>
    </row>
    <row r="19" spans="1:3" ht="27" customHeight="1" x14ac:dyDescent="0.25">
      <c r="A19" s="144" t="s">
        <v>311</v>
      </c>
      <c r="B19" s="144" t="s">
        <v>312</v>
      </c>
      <c r="C19" s="151">
        <v>25</v>
      </c>
    </row>
    <row r="20" spans="1:3" ht="27" customHeight="1" x14ac:dyDescent="0.25">
      <c r="A20" s="144" t="s">
        <v>313</v>
      </c>
      <c r="B20" s="144" t="s">
        <v>314</v>
      </c>
      <c r="C20" s="151">
        <v>75</v>
      </c>
    </row>
    <row r="21" spans="1:3" ht="27" customHeight="1" x14ac:dyDescent="0.25">
      <c r="A21" s="144" t="s">
        <v>313</v>
      </c>
      <c r="B21" s="144" t="s">
        <v>315</v>
      </c>
      <c r="C21" s="151">
        <v>35</v>
      </c>
    </row>
    <row r="22" spans="1:3" ht="27" customHeight="1" x14ac:dyDescent="0.25">
      <c r="A22" s="152"/>
      <c r="B22" s="144" t="s">
        <v>316</v>
      </c>
      <c r="C22" s="151">
        <v>10</v>
      </c>
    </row>
    <row r="23" spans="1:3" ht="27" customHeight="1" x14ac:dyDescent="0.25">
      <c r="A23" s="144" t="s">
        <v>317</v>
      </c>
      <c r="B23" s="144" t="s">
        <v>318</v>
      </c>
      <c r="C23" s="151">
        <v>15</v>
      </c>
    </row>
    <row r="24" spans="1:3" ht="27" customHeight="1" x14ac:dyDescent="0.25">
      <c r="A24" s="144" t="s">
        <v>319</v>
      </c>
      <c r="B24" s="144" t="s">
        <v>320</v>
      </c>
      <c r="C24" s="151" t="s">
        <v>321</v>
      </c>
    </row>
    <row r="25" spans="1:3" ht="27" customHeight="1" x14ac:dyDescent="0.25">
      <c r="A25" s="144" t="s">
        <v>319</v>
      </c>
      <c r="B25" s="144" t="s">
        <v>322</v>
      </c>
      <c r="C25" s="151">
        <v>35</v>
      </c>
    </row>
    <row r="26" spans="1:3" ht="27" customHeight="1" x14ac:dyDescent="0.25">
      <c r="A26" s="144" t="s">
        <v>319</v>
      </c>
      <c r="B26" s="144" t="s">
        <v>323</v>
      </c>
      <c r="C26" s="151">
        <v>10</v>
      </c>
    </row>
    <row r="27" spans="1:3" ht="27" customHeight="1" x14ac:dyDescent="0.25">
      <c r="A27" s="144" t="s">
        <v>324</v>
      </c>
      <c r="B27" s="144" t="s">
        <v>325</v>
      </c>
      <c r="C27" s="151">
        <v>25</v>
      </c>
    </row>
    <row r="28" spans="1:3" ht="27" customHeight="1" x14ac:dyDescent="0.25">
      <c r="A28" s="144" t="s">
        <v>326</v>
      </c>
      <c r="B28" s="144" t="s">
        <v>327</v>
      </c>
      <c r="C28" s="151">
        <v>55</v>
      </c>
    </row>
    <row r="29" spans="1:3" ht="27" customHeight="1" x14ac:dyDescent="0.25">
      <c r="A29" s="144" t="s">
        <v>328</v>
      </c>
      <c r="B29" s="144" t="s">
        <v>329</v>
      </c>
      <c r="C29" s="151">
        <v>100</v>
      </c>
    </row>
    <row r="30" spans="1:3" ht="27" customHeight="1" x14ac:dyDescent="0.25">
      <c r="A30" s="144" t="s">
        <v>328</v>
      </c>
      <c r="B30" s="144" t="s">
        <v>330</v>
      </c>
      <c r="C30" s="151">
        <v>80</v>
      </c>
    </row>
    <row r="31" spans="1:3" ht="27" customHeight="1" x14ac:dyDescent="0.25">
      <c r="A31" s="144" t="s">
        <v>328</v>
      </c>
      <c r="B31" s="144" t="s">
        <v>331</v>
      </c>
      <c r="C31" s="151">
        <v>125</v>
      </c>
    </row>
    <row r="32" spans="1:3" ht="27" customHeight="1" x14ac:dyDescent="0.25">
      <c r="A32" s="144" t="s">
        <v>328</v>
      </c>
      <c r="B32" s="144" t="s">
        <v>332</v>
      </c>
      <c r="C32" s="151">
        <v>150</v>
      </c>
    </row>
    <row r="33" spans="1:3" ht="27" customHeight="1" x14ac:dyDescent="0.25">
      <c r="A33" s="144" t="s">
        <v>328</v>
      </c>
      <c r="B33" s="144" t="s">
        <v>333</v>
      </c>
      <c r="C33" s="151">
        <v>25</v>
      </c>
    </row>
    <row r="34" spans="1:3" ht="27" customHeight="1" x14ac:dyDescent="0.25">
      <c r="A34" s="144" t="s">
        <v>334</v>
      </c>
      <c r="B34" s="144" t="s">
        <v>335</v>
      </c>
      <c r="C34" s="151">
        <v>25</v>
      </c>
    </row>
    <row r="35" spans="1:3" ht="27" customHeight="1" x14ac:dyDescent="0.25">
      <c r="A35" s="144" t="s">
        <v>336</v>
      </c>
      <c r="B35" s="144" t="s">
        <v>337</v>
      </c>
      <c r="C35" s="151">
        <v>35</v>
      </c>
    </row>
    <row r="36" spans="1:3" ht="27" customHeight="1" x14ac:dyDescent="0.25">
      <c r="A36" s="144" t="s">
        <v>338</v>
      </c>
      <c r="B36" s="144" t="s">
        <v>339</v>
      </c>
      <c r="C36" s="151">
        <v>35</v>
      </c>
    </row>
    <row r="37" spans="1:3" ht="27" customHeight="1" x14ac:dyDescent="0.25">
      <c r="A37" s="144" t="s">
        <v>328</v>
      </c>
      <c r="B37" s="144" t="s">
        <v>340</v>
      </c>
      <c r="C37" s="151">
        <v>75</v>
      </c>
    </row>
    <row r="38" spans="1:3" ht="27" customHeight="1" x14ac:dyDescent="0.25">
      <c r="A38" s="144" t="s">
        <v>328</v>
      </c>
      <c r="B38" s="144" t="s">
        <v>341</v>
      </c>
      <c r="C38" s="151" t="s">
        <v>342</v>
      </c>
    </row>
    <row r="39" spans="1:3" ht="27" customHeight="1" x14ac:dyDescent="0.25">
      <c r="A39" s="144" t="s">
        <v>328</v>
      </c>
      <c r="B39" s="144" t="s">
        <v>343</v>
      </c>
      <c r="C39" s="151">
        <v>20</v>
      </c>
    </row>
    <row r="40" spans="1:3" ht="27" customHeight="1" x14ac:dyDescent="0.25">
      <c r="A40" s="144" t="s">
        <v>344</v>
      </c>
      <c r="B40" s="144" t="s">
        <v>345</v>
      </c>
      <c r="C40" s="151" t="s">
        <v>346</v>
      </c>
    </row>
    <row r="41" spans="1:3" ht="27" customHeight="1" x14ac:dyDescent="0.25">
      <c r="A41" s="144" t="s">
        <v>347</v>
      </c>
      <c r="B41" s="144" t="s">
        <v>348</v>
      </c>
      <c r="C41" s="151">
        <v>5</v>
      </c>
    </row>
    <row r="42" spans="1:3" ht="27" customHeight="1" x14ac:dyDescent="0.25">
      <c r="A42" s="144" t="s">
        <v>347</v>
      </c>
      <c r="B42" s="144" t="s">
        <v>349</v>
      </c>
      <c r="C42" s="151" t="s">
        <v>350</v>
      </c>
    </row>
    <row r="43" spans="1:3" ht="27" customHeight="1" x14ac:dyDescent="0.25">
      <c r="A43" s="144" t="s">
        <v>347</v>
      </c>
      <c r="B43" s="144" t="s">
        <v>351</v>
      </c>
      <c r="C43" s="151">
        <v>20</v>
      </c>
    </row>
    <row r="44" spans="1:3" ht="27" customHeight="1" x14ac:dyDescent="0.25">
      <c r="A44" s="144" t="s">
        <v>347</v>
      </c>
      <c r="B44" s="144" t="s">
        <v>352</v>
      </c>
      <c r="C44" s="151" t="s">
        <v>353</v>
      </c>
    </row>
    <row r="45" spans="1:3" ht="27" customHeight="1" x14ac:dyDescent="0.25">
      <c r="A45" s="144" t="s">
        <v>347</v>
      </c>
      <c r="B45" s="144" t="s">
        <v>354</v>
      </c>
      <c r="C45" s="151">
        <v>15</v>
      </c>
    </row>
    <row r="46" spans="1:3" ht="27" customHeight="1" x14ac:dyDescent="0.25">
      <c r="A46" s="144" t="s">
        <v>347</v>
      </c>
      <c r="B46" s="144" t="s">
        <v>355</v>
      </c>
      <c r="C46" s="151" t="s">
        <v>353</v>
      </c>
    </row>
    <row r="47" spans="1:3" ht="27" customHeight="1" x14ac:dyDescent="0.25">
      <c r="A47" s="144" t="s">
        <v>347</v>
      </c>
      <c r="B47" s="144" t="s">
        <v>356</v>
      </c>
      <c r="C47" s="151" t="s">
        <v>357</v>
      </c>
    </row>
    <row r="48" spans="1:3" ht="27" customHeight="1" x14ac:dyDescent="0.25">
      <c r="A48" s="144" t="s">
        <v>358</v>
      </c>
      <c r="B48" s="144" t="s">
        <v>359</v>
      </c>
      <c r="C48" s="151" t="s">
        <v>360</v>
      </c>
    </row>
    <row r="49" spans="1:13" ht="27" customHeight="1" x14ac:dyDescent="0.25">
      <c r="A49" s="144" t="s">
        <v>358</v>
      </c>
      <c r="B49" s="144" t="s">
        <v>361</v>
      </c>
      <c r="C49" s="151" t="s">
        <v>362</v>
      </c>
    </row>
    <row r="50" spans="1:13" ht="27" customHeight="1" x14ac:dyDescent="0.25">
      <c r="A50" s="144" t="s">
        <v>358</v>
      </c>
      <c r="B50" s="144" t="s">
        <v>363</v>
      </c>
      <c r="C50" s="151" t="s">
        <v>364</v>
      </c>
    </row>
    <row r="51" spans="1:13" ht="27" customHeight="1" x14ac:dyDescent="0.25">
      <c r="C51" s="151"/>
    </row>
    <row r="52" spans="1:13" ht="27" customHeight="1" x14ac:dyDescent="0.25">
      <c r="A52" s="146" t="s">
        <v>365</v>
      </c>
      <c r="B52" s="146"/>
      <c r="C52" s="147"/>
      <c r="D52" s="147"/>
      <c r="E52" s="147"/>
      <c r="F52" s="147"/>
      <c r="G52" s="147"/>
      <c r="H52" s="153"/>
      <c r="I52" s="153"/>
      <c r="J52" s="147"/>
      <c r="K52" s="147"/>
      <c r="L52" s="147"/>
      <c r="M52" s="147"/>
    </row>
    <row r="53" spans="1:13" s="156" customFormat="1" ht="27" customHeight="1" x14ac:dyDescent="0.25">
      <c r="A53" s="150" t="s">
        <v>276</v>
      </c>
      <c r="B53" s="150" t="s">
        <v>277</v>
      </c>
      <c r="C53" s="11" t="s">
        <v>366</v>
      </c>
      <c r="D53" s="154" t="s">
        <v>367</v>
      </c>
      <c r="E53" s="154" t="s">
        <v>368</v>
      </c>
      <c r="F53" s="154" t="s">
        <v>369</v>
      </c>
      <c r="G53" s="154" t="s">
        <v>370</v>
      </c>
      <c r="H53" s="154" t="s">
        <v>371</v>
      </c>
      <c r="I53" s="154" t="s">
        <v>372</v>
      </c>
      <c r="J53" s="154" t="s">
        <v>373</v>
      </c>
      <c r="K53" s="154" t="s">
        <v>374</v>
      </c>
      <c r="L53" s="154" t="s">
        <v>375</v>
      </c>
      <c r="M53" s="155" t="s">
        <v>376</v>
      </c>
    </row>
    <row r="54" spans="1:13" ht="27" customHeight="1" x14ac:dyDescent="0.25">
      <c r="A54" s="144" t="s">
        <v>377</v>
      </c>
      <c r="B54" s="144" t="s">
        <v>378</v>
      </c>
      <c r="C54" s="157">
        <v>10000</v>
      </c>
      <c r="D54" s="158">
        <v>39.5</v>
      </c>
      <c r="E54" s="158">
        <f>ROUND($D54*(1-INDEX(discounts[#All],MATCH($M54,discounts[[#All],[Discount Level]],0),MATCH(dpPiecePricing[[#Headers],[≥ 10000]],dpPiecePricing[[#Headers],[≥ 1]:[≥ 150000]],0)))/10,2)</f>
        <v>3.75</v>
      </c>
      <c r="F54" s="158">
        <f>ROUND($D54*(1-INDEX(discounts[#All],MATCH($M54,discounts[[#All],[Discount Level]],0),MATCH(dpPiecePricing[[#Headers],[≥ 20000]],dpPiecePricing[[#Headers],[≥ 1]:[≥ 150000]],0)))/10,2)</f>
        <v>3.56</v>
      </c>
      <c r="G54" s="158">
        <f>ROUND($D54*(1-INDEX(discounts[#All],MATCH($M54,discounts[[#All],[Discount Level]],0),MATCH(dpPiecePricing[[#Headers],[≥ 25000]],dpPiecePricing[[#Headers],[≥ 1]:[≥ 150000]],0)))/10,2)</f>
        <v>3.36</v>
      </c>
      <c r="H54" s="158">
        <f>ROUND($D54*(1-INDEX(discounts[#All],MATCH($M54,discounts[[#All],[Discount Level]],0),MATCH(dpPiecePricing[[#Headers],[≥ 30000]],dpPiecePricing[[#Headers],[≥ 1]:[≥ 150000]],0)))/10,2)</f>
        <v>3.16</v>
      </c>
      <c r="I54" s="158">
        <f>ROUND($D54*(1-INDEX(discounts[#All],MATCH($M54,discounts[[#All],[Discount Level]],0),MATCH(dpPiecePricing[[#Headers],[≥ 50000]],dpPiecePricing[[#Headers],[≥ 1]:[≥ 150000]],0)))/10,2)</f>
        <v>2.96</v>
      </c>
      <c r="J54" s="158">
        <f>ROUND($D54*(1-INDEX(discounts[#All],MATCH($M54,discounts[[#All],[Discount Level]],0),MATCH(dpPiecePricing[[#Headers],[≥ 75000]],dpPiecePricing[[#Headers],[≥ 1]:[≥ 150000]],0)))/10,2)</f>
        <v>2.77</v>
      </c>
      <c r="K54" s="158">
        <f>ROUND($D54*(1-INDEX(discounts[#All],MATCH($M54,discounts[[#All],[Discount Level]],0),MATCH(dpPiecePricing[[#Headers],[≥ 100000]],dpPiecePricing[[#Headers],[≥ 1]:[≥ 150000]],0)))/10,2)</f>
        <v>2.57</v>
      </c>
      <c r="L54" s="158">
        <f>ROUND($D54*(1-INDEX(discounts[#All],MATCH($M54,discounts[[#All],[Discount Level]],0),MATCH(dpPiecePricing[[#Headers],[≥ 150000]],dpPiecePricing[[#Headers],[≥ 1]:[≥ 150000]],0)))/10,2)</f>
        <v>2.4700000000000002</v>
      </c>
      <c r="M54" s="158" t="s">
        <v>379</v>
      </c>
    </row>
    <row r="55" spans="1:13" ht="27" customHeight="1" x14ac:dyDescent="0.25">
      <c r="A55" s="144" t="s">
        <v>300</v>
      </c>
      <c r="B55" s="144" t="s">
        <v>380</v>
      </c>
      <c r="C55" s="157">
        <v>10000</v>
      </c>
      <c r="D55" s="158">
        <v>81</v>
      </c>
      <c r="E55" s="158">
        <f>ROUND($D55*(1-INDEX(discounts[#All],MATCH($M55,discounts[[#All],[Discount Level]],0),MATCH(dpPiecePricing[[#Headers],[≥ 10000]],dpPiecePricing[[#Headers],[≥ 1]:[≥ 150000]],0)))/10,2)</f>
        <v>7.7</v>
      </c>
      <c r="F55" s="158">
        <f>ROUND($D55*(1-INDEX(discounts[#All],MATCH($M55,discounts[[#All],[Discount Level]],0),MATCH(dpPiecePricing[[#Headers],[≥ 20000]],dpPiecePricing[[#Headers],[≥ 1]:[≥ 150000]],0)))/10,2)</f>
        <v>7.29</v>
      </c>
      <c r="G55" s="158">
        <f>ROUND($D55*(1-INDEX(discounts[#All],MATCH($M55,discounts[[#All],[Discount Level]],0),MATCH(dpPiecePricing[[#Headers],[≥ 25000]],dpPiecePricing[[#Headers],[≥ 1]:[≥ 150000]],0)))/10,2)</f>
        <v>6.89</v>
      </c>
      <c r="H55" s="158">
        <f>ROUND($D55*(1-INDEX(discounts[#All],MATCH($M55,discounts[[#All],[Discount Level]],0),MATCH(dpPiecePricing[[#Headers],[≥ 30000]],dpPiecePricing[[#Headers],[≥ 1]:[≥ 150000]],0)))/10,2)</f>
        <v>6.48</v>
      </c>
      <c r="I55" s="158">
        <f>ROUND($D55*(1-INDEX(discounts[#All],MATCH($M55,discounts[[#All],[Discount Level]],0),MATCH(dpPiecePricing[[#Headers],[≥ 50000]],dpPiecePricing[[#Headers],[≥ 1]:[≥ 150000]],0)))/10,2)</f>
        <v>6.08</v>
      </c>
      <c r="J55" s="158">
        <f>ROUND($D55*(1-INDEX(discounts[#All],MATCH($M55,discounts[[#All],[Discount Level]],0),MATCH(dpPiecePricing[[#Headers],[≥ 75000]],dpPiecePricing[[#Headers],[≥ 1]:[≥ 150000]],0)))/10,2)</f>
        <v>5.67</v>
      </c>
      <c r="K55" s="158">
        <f>ROUND($D55*(1-INDEX(discounts[#All],MATCH($M55,discounts[[#All],[Discount Level]],0),MATCH(dpPiecePricing[[#Headers],[≥ 100000]],dpPiecePricing[[#Headers],[≥ 1]:[≥ 150000]],0)))/10,2)</f>
        <v>5.27</v>
      </c>
      <c r="L55" s="158">
        <f>ROUND($D55*(1-INDEX(discounts[#All],MATCH($M55,discounts[[#All],[Discount Level]],0),MATCH(dpPiecePricing[[#Headers],[≥ 150000]],dpPiecePricing[[#Headers],[≥ 1]:[≥ 150000]],0)))/10,2)</f>
        <v>5.0599999999999996</v>
      </c>
      <c r="M55" s="158" t="s">
        <v>379</v>
      </c>
    </row>
    <row r="56" spans="1:13" ht="27" customHeight="1" x14ac:dyDescent="0.25">
      <c r="A56" s="144" t="s">
        <v>381</v>
      </c>
      <c r="B56" s="144" t="s">
        <v>382</v>
      </c>
      <c r="C56" s="157"/>
      <c r="D56" s="158">
        <v>4</v>
      </c>
      <c r="E56" s="158">
        <f>ROUND($D56*(1-INDEX(discounts[#All],MATCH($M56,discounts[[#All],[Discount Level]],0),MATCH(dpPiecePricing[[#Headers],[≥ 10000]],dpPiecePricing[[#Headers],[≥ 1]:[≥ 150000]],0))),2)</f>
        <v>3.8</v>
      </c>
      <c r="F56" s="158">
        <f>ROUND($D56*(1-INDEX(discounts[#All],MATCH($M56,discounts[[#All],[Discount Level]],0),MATCH(dpPiecePricing[[#Headers],[≥ 20000]],dpPiecePricing[[#Headers],[≥ 1]:[≥ 150000]],0))),2)</f>
        <v>3.6</v>
      </c>
      <c r="G56" s="158">
        <f>ROUND($D56*(1-INDEX(discounts[#All],MATCH($M56,discounts[[#All],[Discount Level]],0),MATCH(dpPiecePricing[[#Headers],[≥ 25000]],dpPiecePricing[[#Headers],[≥ 1]:[≥ 150000]],0))),2)</f>
        <v>3.4</v>
      </c>
      <c r="H56" s="158">
        <f>ROUND($D56*(1-INDEX(discounts[#All],MATCH($M56,discounts[[#All],[Discount Level]],0),MATCH(dpPiecePricing[[#Headers],[≥ 30000]],dpPiecePricing[[#Headers],[≥ 1]:[≥ 150000]],0))),2)</f>
        <v>3.2</v>
      </c>
      <c r="I56" s="158">
        <f>ROUND($D56*(1-INDEX(discounts[#All],MATCH($M56,discounts[[#All],[Discount Level]],0),MATCH(dpPiecePricing[[#Headers],[≥ 50000]],dpPiecePricing[[#Headers],[≥ 1]:[≥ 150000]],0))),2)</f>
        <v>3</v>
      </c>
      <c r="J56" s="158">
        <f>ROUND($D56*(1-INDEX(discounts[#All],MATCH($M56,discounts[[#All],[Discount Level]],0),MATCH(dpPiecePricing[[#Headers],[≥ 75000]],dpPiecePricing[[#Headers],[≥ 1]:[≥ 150000]],0))),2)</f>
        <v>2.8</v>
      </c>
      <c r="K56" s="158">
        <f>ROUND($D56*(1-INDEX(discounts[#All],MATCH($M56,discounts[[#All],[Discount Level]],0),MATCH(dpPiecePricing[[#Headers],[≥ 100000]],dpPiecePricing[[#Headers],[≥ 1]:[≥ 150000]],0))),2)</f>
        <v>2.6</v>
      </c>
      <c r="L56" s="158">
        <f>ROUND($D56*(1-INDEX(discounts[#All],MATCH($M56,discounts[[#All],[Discount Level]],0),MATCH(dpPiecePricing[[#Headers],[≥ 150000]],dpPiecePricing[[#Headers],[≥ 1]:[≥ 150000]],0))),2)</f>
        <v>2.5</v>
      </c>
      <c r="M56" s="158" t="s">
        <v>379</v>
      </c>
    </row>
    <row r="57" spans="1:13" ht="27" customHeight="1" x14ac:dyDescent="0.25">
      <c r="A57" s="144" t="s">
        <v>383</v>
      </c>
      <c r="B57" s="144" t="s">
        <v>384</v>
      </c>
      <c r="C57" s="157">
        <v>10000</v>
      </c>
      <c r="D57" s="158">
        <v>42</v>
      </c>
      <c r="E57" s="158">
        <f>ROUND($D57*(1-INDEX(discounts[#All],MATCH($M57,discounts[[#All],[Discount Level]],0),MATCH(dpPiecePricing[[#Headers],[≥ 10000]],dpPiecePricing[[#Headers],[≥ 1]:[≥ 150000]],0)))/10,2)</f>
        <v>3.99</v>
      </c>
      <c r="F57" s="158">
        <f>ROUND($D57*(1-INDEX(discounts[#All],MATCH($M57,discounts[[#All],[Discount Level]],0),MATCH(dpPiecePricing[[#Headers],[≥ 20000]],dpPiecePricing[[#Headers],[≥ 1]:[≥ 150000]],0)))/10,2)</f>
        <v>3.78</v>
      </c>
      <c r="G57" s="158">
        <f>ROUND($D57*(1-INDEX(discounts[#All],MATCH($M57,discounts[[#All],[Discount Level]],0),MATCH(dpPiecePricing[[#Headers],[≥ 25000]],dpPiecePricing[[#Headers],[≥ 1]:[≥ 150000]],0)))/10,2)</f>
        <v>3.57</v>
      </c>
      <c r="H57" s="158">
        <f>ROUND($D57*(1-INDEX(discounts[#All],MATCH($M57,discounts[[#All],[Discount Level]],0),MATCH(dpPiecePricing[[#Headers],[≥ 30000]],dpPiecePricing[[#Headers],[≥ 1]:[≥ 150000]],0)))/10,2)</f>
        <v>3.36</v>
      </c>
      <c r="I57" s="158">
        <f>ROUND($D57*(1-INDEX(discounts[#All],MATCH($M57,discounts[[#All],[Discount Level]],0),MATCH(dpPiecePricing[[#Headers],[≥ 50000]],dpPiecePricing[[#Headers],[≥ 1]:[≥ 150000]],0)))/10,2)</f>
        <v>3.15</v>
      </c>
      <c r="J57" s="158">
        <f>ROUND($D57*(1-INDEX(discounts[#All],MATCH($M57,discounts[[#All],[Discount Level]],0),MATCH(dpPiecePricing[[#Headers],[≥ 75000]],dpPiecePricing[[#Headers],[≥ 1]:[≥ 150000]],0)))/10,2)</f>
        <v>2.94</v>
      </c>
      <c r="K57" s="158">
        <f>ROUND($D57*(1-INDEX(discounts[#All],MATCH($M57,discounts[[#All],[Discount Level]],0),MATCH(dpPiecePricing[[#Headers],[≥ 100000]],dpPiecePricing[[#Headers],[≥ 1]:[≥ 150000]],0)))/10,2)</f>
        <v>2.73</v>
      </c>
      <c r="L57" s="158">
        <f>ROUND($D57*(1-INDEX(discounts[#All],MATCH($M57,discounts[[#All],[Discount Level]],0),MATCH(dpPiecePricing[[#Headers],[≥ 150000]],dpPiecePricing[[#Headers],[≥ 1]:[≥ 150000]],0)))/10,2)</f>
        <v>2.63</v>
      </c>
      <c r="M57" s="158" t="s">
        <v>379</v>
      </c>
    </row>
    <row r="58" spans="1:13" ht="27" customHeight="1" x14ac:dyDescent="0.25">
      <c r="A58" s="144" t="s">
        <v>385</v>
      </c>
      <c r="B58" s="144" t="s">
        <v>386</v>
      </c>
      <c r="C58" s="157">
        <v>10000</v>
      </c>
      <c r="D58" s="158">
        <v>68</v>
      </c>
      <c r="E58" s="158">
        <f>ROUND($D58*(1-INDEX(discounts[#All],MATCH($M58,discounts[[#All],[Discount Level]],0),MATCH(dpPiecePricing[[#Headers],[≥ 10000]],dpPiecePricing[[#Headers],[≥ 1]:[≥ 150000]],0)))/10,2)</f>
        <v>6.63</v>
      </c>
      <c r="F58" s="158">
        <f>ROUND($D58*(1-INDEX(discounts[#All],MATCH($M58,discounts[[#All],[Discount Level]],0),MATCH(dpPiecePricing[[#Headers],[≥ 20000]],dpPiecePricing[[#Headers],[≥ 1]:[≥ 150000]],0)))/10,2)</f>
        <v>6.46</v>
      </c>
      <c r="G58" s="158">
        <f>ROUND($D58*(1-INDEX(discounts[#All],MATCH($M58,discounts[[#All],[Discount Level]],0),MATCH(dpPiecePricing[[#Headers],[≥ 25000]],dpPiecePricing[[#Headers],[≥ 1]:[≥ 150000]],0)))/10,2)</f>
        <v>6.29</v>
      </c>
      <c r="H58" s="158">
        <f>ROUND($D58*(1-INDEX(discounts[#All],MATCH($M58,discounts[[#All],[Discount Level]],0),MATCH(dpPiecePricing[[#Headers],[≥ 30000]],dpPiecePricing[[#Headers],[≥ 1]:[≥ 150000]],0)))/10,2)</f>
        <v>6.12</v>
      </c>
      <c r="I58" s="158">
        <f>ROUND($D58*(1-INDEX(discounts[#All],MATCH($M58,discounts[[#All],[Discount Level]],0),MATCH(dpPiecePricing[[#Headers],[≥ 50000]],dpPiecePricing[[#Headers],[≥ 1]:[≥ 150000]],0)))/10,2)</f>
        <v>5.95</v>
      </c>
      <c r="J58" s="158">
        <f>ROUND($D58*(1-INDEX(discounts[#All],MATCH($M58,discounts[[#All],[Discount Level]],0),MATCH(dpPiecePricing[[#Headers],[≥ 75000]],dpPiecePricing[[#Headers],[≥ 1]:[≥ 150000]],0)))/10,2)</f>
        <v>5.78</v>
      </c>
      <c r="K58" s="158">
        <f>ROUND($D58*(1-INDEX(discounts[#All],MATCH($M58,discounts[[#All],[Discount Level]],0),MATCH(dpPiecePricing[[#Headers],[≥ 100000]],dpPiecePricing[[#Headers],[≥ 1]:[≥ 150000]],0)))/10,2)</f>
        <v>5.61</v>
      </c>
      <c r="L58" s="158">
        <f>ROUND($D58*(1-INDEX(discounts[#All],MATCH($M58,discounts[[#All],[Discount Level]],0),MATCH(dpPiecePricing[[#Headers],[≥ 150000]],dpPiecePricing[[#Headers],[≥ 1]:[≥ 150000]],0)))/10,2)</f>
        <v>5.44</v>
      </c>
      <c r="M58" s="158" t="s">
        <v>387</v>
      </c>
    </row>
    <row r="59" spans="1:13" ht="27" customHeight="1" x14ac:dyDescent="0.25">
      <c r="A59" s="144" t="s">
        <v>388</v>
      </c>
      <c r="B59" s="144" t="s">
        <v>389</v>
      </c>
      <c r="C59" s="157">
        <v>10000</v>
      </c>
      <c r="D59" s="158">
        <v>31.5</v>
      </c>
      <c r="E59" s="158">
        <f>ROUND($D59*(1-INDEX(discounts[#All],MATCH($M59,discounts[[#All],[Discount Level]],0),MATCH(dpPiecePricing[[#Headers],[≥ 10000]],dpPiecePricing[[#Headers],[≥ 1]:[≥ 150000]],0)))/10,2)</f>
        <v>3.07</v>
      </c>
      <c r="F59" s="158">
        <f>ROUND($D59*(1-INDEX(discounts[#All],MATCH($M59,discounts[[#All],[Discount Level]],0),MATCH(dpPiecePricing[[#Headers],[≥ 20000]],dpPiecePricing[[#Headers],[≥ 1]:[≥ 150000]],0)))/10,2)</f>
        <v>2.99</v>
      </c>
      <c r="G59" s="158">
        <f>ROUND($D59*(1-INDEX(discounts[#All],MATCH($M59,discounts[[#All],[Discount Level]],0),MATCH(dpPiecePricing[[#Headers],[≥ 25000]],dpPiecePricing[[#Headers],[≥ 1]:[≥ 150000]],0)))/10,2)</f>
        <v>2.91</v>
      </c>
      <c r="H59" s="158">
        <f>ROUND($D59*(1-INDEX(discounts[#All],MATCH($M59,discounts[[#All],[Discount Level]],0),MATCH(dpPiecePricing[[#Headers],[≥ 30000]],dpPiecePricing[[#Headers],[≥ 1]:[≥ 150000]],0)))/10,2)</f>
        <v>2.84</v>
      </c>
      <c r="I59" s="158">
        <f>ROUND($D59*(1-INDEX(discounts[#All],MATCH($M59,discounts[[#All],[Discount Level]],0),MATCH(dpPiecePricing[[#Headers],[≥ 50000]],dpPiecePricing[[#Headers],[≥ 1]:[≥ 150000]],0)))/10,2)</f>
        <v>2.76</v>
      </c>
      <c r="J59" s="158">
        <f>ROUND($D59*(1-INDEX(discounts[#All],MATCH($M59,discounts[[#All],[Discount Level]],0),MATCH(dpPiecePricing[[#Headers],[≥ 75000]],dpPiecePricing[[#Headers],[≥ 1]:[≥ 150000]],0)))/10,2)</f>
        <v>2.68</v>
      </c>
      <c r="K59" s="158">
        <f>ROUND($D59*(1-INDEX(discounts[#All],MATCH($M59,discounts[[#All],[Discount Level]],0),MATCH(dpPiecePricing[[#Headers],[≥ 100000]],dpPiecePricing[[#Headers],[≥ 1]:[≥ 150000]],0)))/10,2)</f>
        <v>2.6</v>
      </c>
      <c r="L59" s="158">
        <f>ROUND($D59*(1-INDEX(discounts[#All],MATCH($M59,discounts[[#All],[Discount Level]],0),MATCH(dpPiecePricing[[#Headers],[≥ 150000]],dpPiecePricing[[#Headers],[≥ 1]:[≥ 150000]],0)))/10,2)</f>
        <v>2.52</v>
      </c>
      <c r="M59" s="158" t="s">
        <v>387</v>
      </c>
    </row>
    <row r="60" spans="1:13" ht="27" customHeight="1" x14ac:dyDescent="0.25">
      <c r="A60" s="144" t="s">
        <v>390</v>
      </c>
      <c r="B60" s="144" t="s">
        <v>391</v>
      </c>
      <c r="C60" s="157">
        <v>10000</v>
      </c>
      <c r="D60" s="158">
        <v>68</v>
      </c>
      <c r="E60" s="158">
        <f>ROUND($D60*(1-INDEX(discounts[#All],MATCH($M60,discounts[[#All],[Discount Level]],0),MATCH(dpPiecePricing[[#Headers],[≥ 10000]],dpPiecePricing[[#Headers],[≥ 1]:[≥ 150000]],0)))/10,2)</f>
        <v>6.63</v>
      </c>
      <c r="F60" s="158">
        <f>ROUND($D60*(1-INDEX(discounts[#All],MATCH($M60,discounts[[#All],[Discount Level]],0),MATCH(dpPiecePricing[[#Headers],[≥ 20000]],dpPiecePricing[[#Headers],[≥ 1]:[≥ 150000]],0)))/10,2)</f>
        <v>6.46</v>
      </c>
      <c r="G60" s="158">
        <f>ROUND($D60*(1-INDEX(discounts[#All],MATCH($M60,discounts[[#All],[Discount Level]],0),MATCH(dpPiecePricing[[#Headers],[≥ 25000]],dpPiecePricing[[#Headers],[≥ 1]:[≥ 150000]],0)))/10,2)</f>
        <v>6.29</v>
      </c>
      <c r="H60" s="158">
        <f>ROUND($D60*(1-INDEX(discounts[#All],MATCH($M60,discounts[[#All],[Discount Level]],0),MATCH(dpPiecePricing[[#Headers],[≥ 30000]],dpPiecePricing[[#Headers],[≥ 1]:[≥ 150000]],0)))/10,2)</f>
        <v>6.12</v>
      </c>
      <c r="I60" s="158">
        <f>ROUND($D60*(1-INDEX(discounts[#All],MATCH($M60,discounts[[#All],[Discount Level]],0),MATCH(dpPiecePricing[[#Headers],[≥ 50000]],dpPiecePricing[[#Headers],[≥ 1]:[≥ 150000]],0)))/10,2)</f>
        <v>5.95</v>
      </c>
      <c r="J60" s="158">
        <f>ROUND($D60*(1-INDEX(discounts[#All],MATCH($M60,discounts[[#All],[Discount Level]],0),MATCH(dpPiecePricing[[#Headers],[≥ 75000]],dpPiecePricing[[#Headers],[≥ 1]:[≥ 150000]],0)))/10,2)</f>
        <v>5.78</v>
      </c>
      <c r="K60" s="158">
        <f>ROUND($D60*(1-INDEX(discounts[#All],MATCH($M60,discounts[[#All],[Discount Level]],0),MATCH(dpPiecePricing[[#Headers],[≥ 100000]],dpPiecePricing[[#Headers],[≥ 1]:[≥ 150000]],0)))/10,2)</f>
        <v>5.61</v>
      </c>
      <c r="L60" s="158">
        <f>ROUND($D60*(1-INDEX(discounts[#All],MATCH($M60,discounts[[#All],[Discount Level]],0),MATCH(dpPiecePricing[[#Headers],[≥ 150000]],dpPiecePricing[[#Headers],[≥ 1]:[≥ 150000]],0)))/10,2)</f>
        <v>5.44</v>
      </c>
      <c r="M60" s="158" t="s">
        <v>387</v>
      </c>
    </row>
    <row r="61" spans="1:13" ht="27" customHeight="1" x14ac:dyDescent="0.25">
      <c r="A61" s="144" t="s">
        <v>392</v>
      </c>
      <c r="B61" s="144" t="s">
        <v>393</v>
      </c>
      <c r="C61" s="157"/>
      <c r="D61" s="158">
        <v>36.5</v>
      </c>
      <c r="E61" s="159"/>
      <c r="F61" s="159"/>
      <c r="G61" s="159"/>
      <c r="H61" s="159"/>
      <c r="I61" s="159"/>
      <c r="J61" s="159"/>
      <c r="K61" s="159"/>
      <c r="L61" s="159"/>
      <c r="M61" s="158" t="s">
        <v>387</v>
      </c>
    </row>
    <row r="62" spans="1:13" ht="27" customHeight="1" x14ac:dyDescent="0.25">
      <c r="A62" s="144" t="s">
        <v>394</v>
      </c>
      <c r="B62" s="144" t="s">
        <v>395</v>
      </c>
      <c r="C62" s="157">
        <v>10000</v>
      </c>
      <c r="D62" s="158">
        <v>62.5</v>
      </c>
      <c r="E62" s="158">
        <f>dpPiecePricing[[#This Row],[≥ 1]]/10</f>
        <v>6.25</v>
      </c>
      <c r="F62" s="158">
        <f>ROUND($D62*(1-INDEX(discounts[#All],MATCH($M62,discounts[[#All],[Discount Level]],0),MATCH(dpPiecePricing[[#Headers],[≥ 20000]],dpPiecePricing[[#Headers],[≥ 10000]:[≥ 150000]],0)))/10,2)</f>
        <v>6.09</v>
      </c>
      <c r="G62" s="158">
        <f>ROUND($D62*(1-INDEX(discounts[#All],MATCH($M62,discounts[[#All],[Discount Level]],0),MATCH(dpPiecePricing[[#Headers],[≥ 25000]],dpPiecePricing[[#Headers],[≥ 10000]:[≥ 150000]],0)))/10,2)</f>
        <v>5.94</v>
      </c>
      <c r="H62" s="158">
        <f>ROUND($D62*(1-INDEX(discounts[#All],MATCH($M62,discounts[[#All],[Discount Level]],0),MATCH(dpPiecePricing[[#Headers],[≥ 30000]],dpPiecePricing[[#Headers],[≥ 10000]:[≥ 150000]],0)))/10,2)</f>
        <v>5.78</v>
      </c>
      <c r="I62" s="158">
        <f>ROUND($D62*(1-INDEX(discounts[#All],MATCH($M62,discounts[[#All],[Discount Level]],0),MATCH(dpPiecePricing[[#Headers],[≥ 50000]],dpPiecePricing[[#Headers],[≥ 10000]:[≥ 150000]],0)))/10,2)</f>
        <v>5.63</v>
      </c>
      <c r="J62" s="158">
        <f>ROUND($D62*(1-INDEX(discounts[#All],MATCH($M62,discounts[[#All],[Discount Level]],0),MATCH(dpPiecePricing[[#Headers],[≥ 75000]],dpPiecePricing[[#Headers],[≥ 10000]:[≥ 150000]],0)))/10,2)</f>
        <v>5.47</v>
      </c>
      <c r="K62" s="158">
        <f>ROUND($D62*(1-INDEX(discounts[#All],MATCH($M62,discounts[[#All],[Discount Level]],0),MATCH(dpPiecePricing[[#Headers],[≥ 100000]],dpPiecePricing[[#Headers],[≥ 10000]:[≥ 150000]],0)))/10,2)</f>
        <v>5.31</v>
      </c>
      <c r="L62" s="158">
        <f>ROUND($D62*(1-INDEX(discounts[#All],MATCH($M62,discounts[[#All],[Discount Level]],0),MATCH(dpPiecePricing[[#Headers],[≥ 150000]],dpPiecePricing[[#Headers],[≥ 10000]:[≥ 150000]],0)))/10,2)</f>
        <v>5.16</v>
      </c>
      <c r="M62" s="158" t="s">
        <v>387</v>
      </c>
    </row>
    <row r="63" spans="1:13" ht="27" customHeight="1" x14ac:dyDescent="0.25">
      <c r="A63" s="144" t="s">
        <v>396</v>
      </c>
      <c r="B63" s="144" t="s">
        <v>397</v>
      </c>
      <c r="C63" s="157">
        <v>10000</v>
      </c>
      <c r="D63" s="158">
        <v>82</v>
      </c>
      <c r="E63" s="158">
        <f>dpPiecePricing[[#This Row],[≥ 1]]/10</f>
        <v>8.1999999999999993</v>
      </c>
      <c r="F63" s="158">
        <f>ROUND($D63*(1-INDEX(discounts[#All],MATCH($M63,discounts[[#All],[Discount Level]],0),MATCH(dpPiecePricing[[#Headers],[≥ 20000]],dpPiecePricing[[#Headers],[≥ 10000]:[≥ 150000]],0)))/10,2)</f>
        <v>8</v>
      </c>
      <c r="G63" s="158">
        <f>ROUND($D63*(1-INDEX(discounts[#All],MATCH($M63,discounts[[#All],[Discount Level]],0),MATCH(dpPiecePricing[[#Headers],[≥ 25000]],dpPiecePricing[[#Headers],[≥ 10000]:[≥ 150000]],0)))/10,2)</f>
        <v>7.79</v>
      </c>
      <c r="H63" s="158">
        <f>ROUND($D63*(1-INDEX(discounts[#All],MATCH($M63,discounts[[#All],[Discount Level]],0),MATCH(dpPiecePricing[[#Headers],[≥ 30000]],dpPiecePricing[[#Headers],[≥ 10000]:[≥ 150000]],0)))/10,2)</f>
        <v>7.59</v>
      </c>
      <c r="I63" s="158">
        <f>ROUND($D63*(1-INDEX(discounts[#All],MATCH($M63,discounts[[#All],[Discount Level]],0),MATCH(dpPiecePricing[[#Headers],[≥ 50000]],dpPiecePricing[[#Headers],[≥ 10000]:[≥ 150000]],0)))/10,2)</f>
        <v>7.38</v>
      </c>
      <c r="J63" s="158">
        <f>ROUND($D63*(1-INDEX(discounts[#All],MATCH($M63,discounts[[#All],[Discount Level]],0),MATCH(dpPiecePricing[[#Headers],[≥ 75000]],dpPiecePricing[[#Headers],[≥ 10000]:[≥ 150000]],0)))/10,2)</f>
        <v>7.18</v>
      </c>
      <c r="K63" s="158">
        <f>ROUND($D63*(1-INDEX(discounts[#All],MATCH($M63,discounts[[#All],[Discount Level]],0),MATCH(dpPiecePricing[[#Headers],[≥ 100000]],dpPiecePricing[[#Headers],[≥ 10000]:[≥ 150000]],0)))/10,2)</f>
        <v>6.97</v>
      </c>
      <c r="L63" s="158">
        <f>ROUND($D63*(1-INDEX(discounts[#All],MATCH($M63,discounts[[#All],[Discount Level]],0),MATCH(dpPiecePricing[[#Headers],[≥ 150000]],dpPiecePricing[[#Headers],[≥ 10000]:[≥ 150000]],0)))/10,2)</f>
        <v>6.77</v>
      </c>
      <c r="M63" s="158" t="s">
        <v>387</v>
      </c>
    </row>
    <row r="64" spans="1:13" ht="27" customHeight="1" x14ac:dyDescent="0.25">
      <c r="A64" s="144" t="s">
        <v>398</v>
      </c>
      <c r="B64" s="144" t="s">
        <v>399</v>
      </c>
      <c r="C64" s="157">
        <v>10000</v>
      </c>
      <c r="D64" s="158">
        <v>92.5</v>
      </c>
      <c r="E64" s="158">
        <f>dpPiecePricing[[#This Row],[≥ 1]]/10</f>
        <v>9.25</v>
      </c>
      <c r="F64" s="158">
        <f>ROUND($D64*(1-INDEX(discounts[#All],MATCH($M64,discounts[[#All],[Discount Level]],0),MATCH(dpPiecePricing[[#Headers],[≥ 20000]],dpPiecePricing[[#Headers],[≥ 10000]:[≥ 150000]],0)))/10,2)</f>
        <v>9.02</v>
      </c>
      <c r="G64" s="158">
        <f>ROUND($D64*(1-INDEX(discounts[#All],MATCH($M64,discounts[[#All],[Discount Level]],0),MATCH(dpPiecePricing[[#Headers],[≥ 25000]],dpPiecePricing[[#Headers],[≥ 10000]:[≥ 150000]],0)))/10,2)</f>
        <v>8.7899999999999991</v>
      </c>
      <c r="H64" s="158">
        <f>ROUND($D64*(1-INDEX(discounts[#All],MATCH($M64,discounts[[#All],[Discount Level]],0),MATCH(dpPiecePricing[[#Headers],[≥ 30000]],dpPiecePricing[[#Headers],[≥ 10000]:[≥ 150000]],0)))/10,2)</f>
        <v>8.56</v>
      </c>
      <c r="I64" s="158">
        <f>ROUND($D64*(1-INDEX(discounts[#All],MATCH($M64,discounts[[#All],[Discount Level]],0),MATCH(dpPiecePricing[[#Headers],[≥ 50000]],dpPiecePricing[[#Headers],[≥ 10000]:[≥ 150000]],0)))/10,2)</f>
        <v>8.33</v>
      </c>
      <c r="J64" s="158">
        <f>ROUND($D64*(1-INDEX(discounts[#All],MATCH($M64,discounts[[#All],[Discount Level]],0),MATCH(dpPiecePricing[[#Headers],[≥ 75000]],dpPiecePricing[[#Headers],[≥ 10000]:[≥ 150000]],0)))/10,2)</f>
        <v>8.09</v>
      </c>
      <c r="K64" s="158">
        <f>ROUND($D64*(1-INDEX(discounts[#All],MATCH($M64,discounts[[#All],[Discount Level]],0),MATCH(dpPiecePricing[[#Headers],[≥ 100000]],dpPiecePricing[[#Headers],[≥ 10000]:[≥ 150000]],0)))/10,2)</f>
        <v>7.86</v>
      </c>
      <c r="L64" s="158">
        <f>ROUND($D64*(1-INDEX(discounts[#All],MATCH($M64,discounts[[#All],[Discount Level]],0),MATCH(dpPiecePricing[[#Headers],[≥ 150000]],dpPiecePricing[[#Headers],[≥ 10000]:[≥ 150000]],0)))/10,2)</f>
        <v>7.63</v>
      </c>
      <c r="M64" s="158" t="s">
        <v>387</v>
      </c>
    </row>
    <row r="65" spans="1:15" ht="27" customHeight="1" x14ac:dyDescent="0.25">
      <c r="A65" s="144" t="s">
        <v>400</v>
      </c>
      <c r="B65" s="144" t="s">
        <v>401</v>
      </c>
      <c r="C65" s="157">
        <v>30000</v>
      </c>
      <c r="D65" s="158">
        <v>157</v>
      </c>
      <c r="E65" s="159"/>
      <c r="F65" s="159"/>
      <c r="G65" s="159"/>
      <c r="H65" s="158">
        <f>ROUND($D65/dpPiecePricing[[#This Row],[Cut Over]]*(1-INDEX(discounts[#All],MATCH($M65,discounts[[#All],[Discount Level]],0),MATCH(dpPiecePricing[[#Headers],[≥ 30000]],dpPiecePricing[[#Headers],[≥ 1]:[≥ 150000]],0)))*1000,2)</f>
        <v>4.71</v>
      </c>
      <c r="I65" s="158">
        <f>ROUND($D65/dpPiecePricing[[#This Row],[Cut Over]]*(1-INDEX(discounts[#All],MATCH($M65,discounts[[#All],[Discount Level]],0),MATCH(dpPiecePricing[[#Headers],[≥ 50000]],dpPiecePricing[[#Headers],[≥ 1]:[≥ 150000]],0)))*1000,2)</f>
        <v>4.58</v>
      </c>
      <c r="J65" s="158">
        <f>ROUND($D65/dpPiecePricing[[#This Row],[Cut Over]]*(1-INDEX(discounts[#All],MATCH($M65,discounts[[#All],[Discount Level]],0),MATCH(dpPiecePricing[[#Headers],[≥ 75000]],dpPiecePricing[[#Headers],[≥ 1]:[≥ 150000]],0)))*1000,2)</f>
        <v>4.45</v>
      </c>
      <c r="K65" s="158">
        <f>ROUND($D65/dpPiecePricing[[#This Row],[Cut Over]]*(1-INDEX(discounts[#All],MATCH($M65,discounts[[#All],[Discount Level]],0),MATCH(dpPiecePricing[[#Headers],[≥ 100000]],dpPiecePricing[[#Headers],[≥ 1]:[≥ 150000]],0)))*1000,2)</f>
        <v>4.32</v>
      </c>
      <c r="L65" s="158">
        <f>ROUND($D65/dpPiecePricing[[#This Row],[Cut Over]]*(1-INDEX(discounts[#All],MATCH($M65,discounts[[#All],[Discount Level]],0),MATCH(dpPiecePricing[[#Headers],[≥ 150000]],dpPiecePricing[[#Headers],[≥ 1]:[≥ 150000]],0)))*1000,2)</f>
        <v>4.1900000000000004</v>
      </c>
      <c r="M65" s="158" t="s">
        <v>387</v>
      </c>
    </row>
    <row r="66" spans="1:15" ht="27" customHeight="1" x14ac:dyDescent="0.25">
      <c r="A66" s="144" t="s">
        <v>400</v>
      </c>
      <c r="B66" s="144" t="s">
        <v>402</v>
      </c>
      <c r="C66" s="157">
        <v>30000</v>
      </c>
      <c r="D66" s="158">
        <v>157</v>
      </c>
      <c r="E66" s="159"/>
      <c r="F66" s="159"/>
      <c r="G66" s="159"/>
      <c r="H66" s="158">
        <f>ROUND($D66/dpPiecePricing[[#This Row],[Cut Over]]*(1-INDEX(discounts[#All],MATCH($M66,discounts[[#All],[Discount Level]],0),MATCH(dpPiecePricing[[#Headers],[≥ 30000]],dpPiecePricing[[#Headers],[≥ 1]:[≥ 150000]],0)))*1000,2)</f>
        <v>4.71</v>
      </c>
      <c r="I66" s="158">
        <f>ROUND($D66/dpPiecePricing[[#This Row],[Cut Over]]*(1-INDEX(discounts[#All],MATCH($M66,discounts[[#All],[Discount Level]],0),MATCH(dpPiecePricing[[#Headers],[≥ 50000]],dpPiecePricing[[#Headers],[≥ 1]:[≥ 150000]],0)))*1000,2)</f>
        <v>4.58</v>
      </c>
      <c r="J66" s="158">
        <f>ROUND($D66/dpPiecePricing[[#This Row],[Cut Over]]*(1-INDEX(discounts[#All],MATCH($M66,discounts[[#All],[Discount Level]],0),MATCH(dpPiecePricing[[#Headers],[≥ 75000]],dpPiecePricing[[#Headers],[≥ 1]:[≥ 150000]],0)))*1000,2)</f>
        <v>4.45</v>
      </c>
      <c r="K66" s="158">
        <f>ROUND($D66/dpPiecePricing[[#This Row],[Cut Over]]*(1-INDEX(discounts[#All],MATCH($M66,discounts[[#All],[Discount Level]],0),MATCH(dpPiecePricing[[#Headers],[≥ 100000]],dpPiecePricing[[#Headers],[≥ 1]:[≥ 150000]],0)))*1000,2)</f>
        <v>4.32</v>
      </c>
      <c r="L66" s="158">
        <f>ROUND($D66/dpPiecePricing[[#This Row],[Cut Over]]*(1-INDEX(discounts[#All],MATCH($M66,discounts[[#All],[Discount Level]],0),MATCH(dpPiecePricing[[#Headers],[≥ 150000]],dpPiecePricing[[#Headers],[≥ 1]:[≥ 150000]],0)))*1000,2)</f>
        <v>4.1900000000000004</v>
      </c>
      <c r="M66" s="158" t="s">
        <v>387</v>
      </c>
    </row>
    <row r="67" spans="1:15" ht="27" customHeight="1" x14ac:dyDescent="0.25">
      <c r="A67" s="144" t="s">
        <v>400</v>
      </c>
      <c r="B67" s="144" t="s">
        <v>403</v>
      </c>
      <c r="C67" s="157">
        <v>30000</v>
      </c>
      <c r="D67" s="158">
        <v>157</v>
      </c>
      <c r="E67" s="159"/>
      <c r="F67" s="159"/>
      <c r="G67" s="159"/>
      <c r="H67" s="158">
        <f>ROUND($D67/dpPiecePricing[[#This Row],[Cut Over]]*(1-INDEX(discounts[#All],MATCH($M67,discounts[[#All],[Discount Level]],0),MATCH(dpPiecePricing[[#Headers],[≥ 30000]],dpPiecePricing[[#Headers],[≥ 1]:[≥ 150000]],0)))*1000,2)</f>
        <v>4.71</v>
      </c>
      <c r="I67" s="158">
        <f>ROUND($D67/dpPiecePricing[[#This Row],[Cut Over]]*(1-INDEX(discounts[#All],MATCH($M67,discounts[[#All],[Discount Level]],0),MATCH(dpPiecePricing[[#Headers],[≥ 50000]],dpPiecePricing[[#Headers],[≥ 1]:[≥ 150000]],0)))*1000,2)</f>
        <v>4.58</v>
      </c>
      <c r="J67" s="158">
        <f>ROUND($D67/dpPiecePricing[[#This Row],[Cut Over]]*(1-INDEX(discounts[#All],MATCH($M67,discounts[[#All],[Discount Level]],0),MATCH(dpPiecePricing[[#Headers],[≥ 75000]],dpPiecePricing[[#Headers],[≥ 1]:[≥ 150000]],0)))*1000,2)</f>
        <v>4.45</v>
      </c>
      <c r="K67" s="158">
        <f>ROUND($D67/dpPiecePricing[[#This Row],[Cut Over]]*(1-INDEX(discounts[#All],MATCH($M67,discounts[[#All],[Discount Level]],0),MATCH(dpPiecePricing[[#Headers],[≥ 100000]],dpPiecePricing[[#Headers],[≥ 1]:[≥ 150000]],0)))*1000,2)</f>
        <v>4.32</v>
      </c>
      <c r="L67" s="158">
        <f>ROUND($D67/dpPiecePricing[[#This Row],[Cut Over]]*(1-INDEX(discounts[#All],MATCH($M67,discounts[[#All],[Discount Level]],0),MATCH(dpPiecePricing[[#Headers],[≥ 150000]],dpPiecePricing[[#Headers],[≥ 1]:[≥ 150000]],0)))*1000,2)</f>
        <v>4.1900000000000004</v>
      </c>
      <c r="M67" s="158" t="s">
        <v>387</v>
      </c>
    </row>
    <row r="68" spans="1:15" ht="27" customHeight="1" x14ac:dyDescent="0.25">
      <c r="A68" s="144" t="s">
        <v>400</v>
      </c>
      <c r="B68" s="144" t="s">
        <v>404</v>
      </c>
      <c r="C68" s="157">
        <v>30000</v>
      </c>
      <c r="D68" s="158">
        <v>251</v>
      </c>
      <c r="E68" s="159"/>
      <c r="F68" s="159"/>
      <c r="G68" s="159"/>
      <c r="H68" s="158">
        <f>ROUND($D68/dpPiecePricing[[#This Row],[Cut Over]]*(1-INDEX(discounts[#All],MATCH($M68,discounts[[#All],[Discount Level]],0),MATCH(dpPiecePricing[[#Headers],[≥ 30000]],dpPiecePricing[[#Headers],[≥ 1]:[≥ 150000]],0)))*1000,2)</f>
        <v>7.53</v>
      </c>
      <c r="I68" s="158">
        <f>ROUND($D68/dpPiecePricing[[#This Row],[Cut Over]]*(1-INDEX(discounts[#All],MATCH($M68,discounts[[#All],[Discount Level]],0),MATCH(dpPiecePricing[[#Headers],[≥ 50000]],dpPiecePricing[[#Headers],[≥ 1]:[≥ 150000]],0)))*1000,2)</f>
        <v>7.32</v>
      </c>
      <c r="J68" s="158">
        <f>ROUND($D68/dpPiecePricing[[#This Row],[Cut Over]]*(1-INDEX(discounts[#All],MATCH($M68,discounts[[#All],[Discount Level]],0),MATCH(dpPiecePricing[[#Headers],[≥ 75000]],dpPiecePricing[[#Headers],[≥ 1]:[≥ 150000]],0)))*1000,2)</f>
        <v>7.11</v>
      </c>
      <c r="K68" s="158">
        <f>ROUND($D68/dpPiecePricing[[#This Row],[Cut Over]]*(1-INDEX(discounts[#All],MATCH($M68,discounts[[#All],[Discount Level]],0),MATCH(dpPiecePricing[[#Headers],[≥ 100000]],dpPiecePricing[[#Headers],[≥ 1]:[≥ 150000]],0)))*1000,2)</f>
        <v>6.9</v>
      </c>
      <c r="L68" s="158">
        <f>ROUND($D68/dpPiecePricing[[#This Row],[Cut Over]]*(1-INDEX(discounts[#All],MATCH($M68,discounts[[#All],[Discount Level]],0),MATCH(dpPiecePricing[[#Headers],[≥ 150000]],dpPiecePricing[[#Headers],[≥ 1]:[≥ 150000]],0)))*1000,2)</f>
        <v>6.69</v>
      </c>
      <c r="M68" s="158" t="s">
        <v>387</v>
      </c>
    </row>
    <row r="69" spans="1:15" ht="27" customHeight="1" x14ac:dyDescent="0.25">
      <c r="A69" s="144" t="s">
        <v>400</v>
      </c>
      <c r="B69" s="144" t="s">
        <v>405</v>
      </c>
      <c r="C69" s="157">
        <v>1000</v>
      </c>
      <c r="D69" s="158">
        <v>52.5</v>
      </c>
      <c r="E69" s="158">
        <f>ROUND($D69*(1-INDEX(discounts[#All],MATCH($M69,discounts[[#All],[Discount Level]],0),MATCH(dpPiecePricing[[#Headers],[≥ 10000]],dpPiecePricing[[#Headers],[≥ 1]:[≥ 150000]],0))),2)</f>
        <v>51.19</v>
      </c>
      <c r="F69" s="158">
        <f>ROUND($D69*(1-INDEX(discounts[#All],MATCH($M69,discounts[[#All],[Discount Level]],0),MATCH(dpPiecePricing[[#Headers],[≥ 20000]],dpPiecePricing[[#Headers],[≥ 1]:[≥ 150000]],0))),2)</f>
        <v>49.88</v>
      </c>
      <c r="G69" s="158">
        <f>ROUND($D69*(1-INDEX(discounts[#All],MATCH($M69,discounts[[#All],[Discount Level]],0),MATCH(dpPiecePricing[[#Headers],[≥ 25000]],dpPiecePricing[[#Headers],[≥ 1]:[≥ 150000]],0))),2)</f>
        <v>48.56</v>
      </c>
      <c r="H69" s="158">
        <f>ROUND($D69*(1-INDEX(discounts[#All],MATCH($M69,discounts[[#All],[Discount Level]],0),MATCH(dpPiecePricing[[#Headers],[≥ 30000]],dpPiecePricing[[#Headers],[≥ 1]:[≥ 150000]],0))),2)</f>
        <v>47.25</v>
      </c>
      <c r="I69" s="158">
        <f>ROUND($D69*(1-INDEX(discounts[#All],MATCH($M69,discounts[[#All],[Discount Level]],0),MATCH(dpPiecePricing[[#Headers],[≥ 50000]],dpPiecePricing[[#Headers],[≥ 1]:[≥ 150000]],0))),2)</f>
        <v>45.94</v>
      </c>
      <c r="J69" s="158">
        <f>ROUND($D69*(1-INDEX(discounts[#All],MATCH($M69,discounts[[#All],[Discount Level]],0),MATCH(dpPiecePricing[[#Headers],[≥ 75000]],dpPiecePricing[[#Headers],[≥ 1]:[≥ 150000]],0))),2)</f>
        <v>44.63</v>
      </c>
      <c r="K69" s="158">
        <f>ROUND($D69*(1-INDEX(discounts[#All],MATCH($M69,discounts[[#All],[Discount Level]],0),MATCH(dpPiecePricing[[#Headers],[≥ 100000]],dpPiecePricing[[#Headers],[≥ 1]:[≥ 150000]],0))),2)</f>
        <v>43.31</v>
      </c>
      <c r="L69" s="158">
        <f>ROUND($D69*(1-INDEX(discounts[#All],MATCH($M69,discounts[[#All],[Discount Level]],0),MATCH(dpPiecePricing[[#Headers],[≥ 150000]],dpPiecePricing[[#Headers],[≥ 1]:[≥ 150000]],0))),2)</f>
        <v>42</v>
      </c>
      <c r="M69" s="158" t="s">
        <v>387</v>
      </c>
    </row>
    <row r="70" spans="1:15" ht="27" customHeight="1" x14ac:dyDescent="0.25">
      <c r="C70" s="151"/>
    </row>
    <row r="71" spans="1:15" ht="27" customHeight="1" x14ac:dyDescent="0.25">
      <c r="A71" s="146" t="s">
        <v>406</v>
      </c>
      <c r="B71" s="146"/>
      <c r="C71" s="147"/>
    </row>
    <row r="72" spans="1:15" s="11" customFormat="1" ht="27" customHeight="1" x14ac:dyDescent="0.25">
      <c r="A72" s="137" t="s">
        <v>276</v>
      </c>
      <c r="B72" s="137" t="s">
        <v>277</v>
      </c>
      <c r="C72" s="138" t="s">
        <v>278</v>
      </c>
    </row>
    <row r="73" spans="1:15" ht="27" customHeight="1" x14ac:dyDescent="0.25">
      <c r="A73" s="144" t="s">
        <v>334</v>
      </c>
      <c r="B73" s="144" t="s">
        <v>407</v>
      </c>
      <c r="C73" s="151">
        <v>15</v>
      </c>
    </row>
    <row r="74" spans="1:15" ht="27" customHeight="1" x14ac:dyDescent="0.25">
      <c r="A74" s="144" t="s">
        <v>334</v>
      </c>
      <c r="B74" s="144" t="s">
        <v>408</v>
      </c>
      <c r="C74" s="151">
        <v>15</v>
      </c>
    </row>
    <row r="75" spans="1:15" ht="27" customHeight="1" x14ac:dyDescent="0.25">
      <c r="A75" s="144" t="s">
        <v>334</v>
      </c>
      <c r="B75" s="144" t="s">
        <v>335</v>
      </c>
      <c r="C75" s="151">
        <v>25</v>
      </c>
    </row>
    <row r="76" spans="1:15" ht="27" customHeight="1" x14ac:dyDescent="0.25">
      <c r="A76" s="152"/>
      <c r="B76" s="144" t="s">
        <v>409</v>
      </c>
      <c r="C76" s="151">
        <v>35</v>
      </c>
    </row>
    <row r="77" spans="1:15" ht="27" customHeight="1" x14ac:dyDescent="0.25">
      <c r="A77" s="152"/>
      <c r="B77" s="144" t="s">
        <v>410</v>
      </c>
      <c r="C77" s="151">
        <v>50</v>
      </c>
    </row>
    <row r="78" spans="1:15" s="162" customFormat="1" ht="27" customHeight="1" x14ac:dyDescent="0.25">
      <c r="A78" s="160"/>
      <c r="B78" s="160"/>
      <c r="C78" s="161"/>
    </row>
    <row r="79" spans="1:15" ht="27" customHeight="1" x14ac:dyDescent="0.25">
      <c r="A79" s="163" t="s">
        <v>411</v>
      </c>
      <c r="B79" s="163"/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</row>
    <row r="80" spans="1:15" s="11" customFormat="1" ht="27" customHeight="1" x14ac:dyDescent="0.25">
      <c r="A80" s="137" t="s">
        <v>276</v>
      </c>
      <c r="B80" s="137" t="s">
        <v>277</v>
      </c>
      <c r="C80" s="138" t="s">
        <v>412</v>
      </c>
      <c r="D80" s="155" t="s">
        <v>367</v>
      </c>
      <c r="E80" s="155" t="s">
        <v>413</v>
      </c>
      <c r="F80" s="155" t="s">
        <v>414</v>
      </c>
      <c r="G80" s="155" t="s">
        <v>415</v>
      </c>
      <c r="H80" s="155" t="s">
        <v>416</v>
      </c>
      <c r="I80" s="155" t="s">
        <v>417</v>
      </c>
      <c r="J80" s="155" t="s">
        <v>418</v>
      </c>
      <c r="K80" s="155" t="s">
        <v>419</v>
      </c>
      <c r="L80" s="155" t="s">
        <v>420</v>
      </c>
      <c r="M80" s="155" t="s">
        <v>421</v>
      </c>
      <c r="N80" s="155" t="s">
        <v>422</v>
      </c>
      <c r="O80" s="155" t="s">
        <v>376</v>
      </c>
    </row>
    <row r="81" spans="1:15" ht="27" customHeight="1" x14ac:dyDescent="0.25">
      <c r="A81" s="160" t="s">
        <v>423</v>
      </c>
      <c r="B81" s="165" t="s">
        <v>424</v>
      </c>
      <c r="C81" s="140">
        <v>40</v>
      </c>
      <c r="D81" s="166">
        <v>55.349999999999994</v>
      </c>
      <c r="E81" s="167">
        <f>ROUND($D81*(1-INDEX(discounts[#All],MATCH($O81,discounts[[#All],[Discount Level]],0),MATCH(lettershopAddPricing[[#Headers],[≥ 5,000]],lettershopAddPricing[[#Headers],[≥ 1]:[≥ 150,000]],0))),2)</f>
        <v>51.2</v>
      </c>
      <c r="F81" s="167">
        <f>ROUND($D81*(1-INDEX(discounts[#All],MATCH($O81,discounts[[#All],[Discount Level]],0),MATCH(lettershopAddPricing[[#Headers],[≥ 10,000]],lettershopAddPricing[[#Headers],[≥ 1]:[≥ 150,000]],0))),2)</f>
        <v>48.43</v>
      </c>
      <c r="G81" s="167">
        <f>ROUND($D81*(1-INDEX(discounts[#All],MATCH($O81,discounts[[#All],[Discount Level]],0),MATCH(lettershopAddPricing[[#Headers],[≥ 15,000]],lettershopAddPricing[[#Headers],[≥ 1]:[≥ 150,000]],0))),2)</f>
        <v>45.66</v>
      </c>
      <c r="H81" s="167">
        <f>ROUND($D81*(1-INDEX(discounts[#All],MATCH($O81,discounts[[#All],[Discount Level]],0),MATCH(lettershopAddPricing[[#Headers],[≥ 20,000]],lettershopAddPricing[[#Headers],[≥ 1]:[≥ 150,000]],0))),2)</f>
        <v>44.28</v>
      </c>
      <c r="I81" s="167">
        <f>ROUND($D81*(1-INDEX(discounts[#All],MATCH($O81,discounts[[#All],[Discount Level]],0),MATCH(lettershopAddPricing[[#Headers],[≥ 25,000]],lettershopAddPricing[[#Headers],[≥ 1]:[≥ 150,000]],0))),2)</f>
        <v>41.51</v>
      </c>
      <c r="J81" s="167">
        <f>ROUND($D81*(1-INDEX(discounts[#All],MATCH($O81,discounts[[#All],[Discount Level]],0),MATCH(lettershopAddPricing[[#Headers],[≥ 35,000]],lettershopAddPricing[[#Headers],[≥ 1]:[≥ 150,000]],0))),2)</f>
        <v>38.75</v>
      </c>
      <c r="K81" s="167">
        <f>ROUND($D81*(1-INDEX(discounts[#All],MATCH($O81,discounts[[#All],[Discount Level]],0),MATCH(lettershopAddPricing[[#Headers],[≥ 50,000]],lettershopAddPricing[[#Headers],[≥ 1]:[≥ 150,000]],0))),2)</f>
        <v>35.979999999999997</v>
      </c>
      <c r="L81" s="167">
        <f>ROUND($D81*(1-INDEX(discounts[#All],MATCH($O81,discounts[[#All],[Discount Level]],0),MATCH(lettershopAddPricing[[#Headers],[≥ 75,000]],lettershopAddPricing[[#Headers],[≥ 1]:[≥ 150,000]],0))),2)</f>
        <v>33.21</v>
      </c>
      <c r="M81" s="167">
        <f>ROUND($D81*(1-INDEX(discounts[#All],MATCH($O81,discounts[[#All],[Discount Level]],0),MATCH(lettershopAddPricing[[#Headers],[≥ 100,000]],lettershopAddPricing[[#Headers],[≥ 1]:[≥ 150,000]],0))),2)</f>
        <v>31.83</v>
      </c>
      <c r="N81" s="167">
        <f>ROUND($D81*(1-INDEX(discounts[#All],MATCH($O81,discounts[[#All],[Discount Level]],0),MATCH(lettershopAddPricing[[#Headers],[≥ 150,000]],lettershopAddPricing[[#Headers],[≥ 1]:[≥ 150,000]],0))),2)</f>
        <v>30.44</v>
      </c>
      <c r="O81" s="168" t="s">
        <v>425</v>
      </c>
    </row>
    <row r="82" spans="1:15" ht="27" customHeight="1" x14ac:dyDescent="0.25">
      <c r="A82" s="160" t="s">
        <v>423</v>
      </c>
      <c r="B82" s="169" t="s">
        <v>426</v>
      </c>
      <c r="C82" s="142">
        <v>55</v>
      </c>
      <c r="D82" s="170">
        <v>62.53</v>
      </c>
      <c r="E82" s="167">
        <f>ROUND($D82*(1-INDEX(discounts[#All],MATCH($O82,discounts[[#All],[Discount Level]],0),MATCH(lettershopAddPricing[[#Headers],[≥ 5,000]],lettershopAddPricing[[#Headers],[≥ 1]:[≥ 150,000]],0))),2)</f>
        <v>57.84</v>
      </c>
      <c r="F82" s="167">
        <f>ROUND($D82*(1-INDEX(discounts[#All],MATCH($O82,discounts[[#All],[Discount Level]],0),MATCH(lettershopAddPricing[[#Headers],[≥ 10,000]],lettershopAddPricing[[#Headers],[≥ 1]:[≥ 150,000]],0))),2)</f>
        <v>54.71</v>
      </c>
      <c r="G82" s="167">
        <f>ROUND($D82*(1-INDEX(discounts[#All],MATCH($O82,discounts[[#All],[Discount Level]],0),MATCH(lettershopAddPricing[[#Headers],[≥ 15,000]],lettershopAddPricing[[#Headers],[≥ 1]:[≥ 150,000]],0))),2)</f>
        <v>51.59</v>
      </c>
      <c r="H82" s="167">
        <f>ROUND($D82*(1-INDEX(discounts[#All],MATCH($O82,discounts[[#All],[Discount Level]],0),MATCH(lettershopAddPricing[[#Headers],[≥ 20,000]],lettershopAddPricing[[#Headers],[≥ 1]:[≥ 150,000]],0))),2)</f>
        <v>50.02</v>
      </c>
      <c r="I82" s="167">
        <f>ROUND($D82*(1-INDEX(discounts[#All],MATCH($O82,discounts[[#All],[Discount Level]],0),MATCH(lettershopAddPricing[[#Headers],[≥ 25,000]],lettershopAddPricing[[#Headers],[≥ 1]:[≥ 150,000]],0))),2)</f>
        <v>46.9</v>
      </c>
      <c r="J82" s="167">
        <f>ROUND($D82*(1-INDEX(discounts[#All],MATCH($O82,discounts[[#All],[Discount Level]],0),MATCH(lettershopAddPricing[[#Headers],[≥ 35,000]],lettershopAddPricing[[#Headers],[≥ 1]:[≥ 150,000]],0))),2)</f>
        <v>43.77</v>
      </c>
      <c r="K82" s="167">
        <f>ROUND($D82*(1-INDEX(discounts[#All],MATCH($O82,discounts[[#All],[Discount Level]],0),MATCH(lettershopAddPricing[[#Headers],[≥ 50,000]],lettershopAddPricing[[#Headers],[≥ 1]:[≥ 150,000]],0))),2)</f>
        <v>40.64</v>
      </c>
      <c r="L82" s="167">
        <f>ROUND($D82*(1-INDEX(discounts[#All],MATCH($O82,discounts[[#All],[Discount Level]],0),MATCH(lettershopAddPricing[[#Headers],[≥ 75,000]],lettershopAddPricing[[#Headers],[≥ 1]:[≥ 150,000]],0))),2)</f>
        <v>37.520000000000003</v>
      </c>
      <c r="M82" s="167">
        <f>ROUND($D82*(1-INDEX(discounts[#All],MATCH($O82,discounts[[#All],[Discount Level]],0),MATCH(lettershopAddPricing[[#Headers],[≥ 100,000]],lettershopAddPricing[[#Headers],[≥ 1]:[≥ 150,000]],0))),2)</f>
        <v>35.950000000000003</v>
      </c>
      <c r="N82" s="167">
        <f>ROUND($D82*(1-INDEX(discounts[#All],MATCH($O82,discounts[[#All],[Discount Level]],0),MATCH(lettershopAddPricing[[#Headers],[≥ 150,000]],lettershopAddPricing[[#Headers],[≥ 1]:[≥ 150,000]],0))),2)</f>
        <v>34.39</v>
      </c>
      <c r="O82" s="171" t="s">
        <v>425</v>
      </c>
    </row>
    <row r="83" spans="1:15" ht="27" customHeight="1" x14ac:dyDescent="0.25">
      <c r="A83" s="160" t="s">
        <v>423</v>
      </c>
      <c r="B83" s="169" t="s">
        <v>427</v>
      </c>
      <c r="C83" s="142">
        <v>55</v>
      </c>
      <c r="D83" s="170">
        <v>68.16</v>
      </c>
      <c r="E83" s="167">
        <f>ROUND($D83*(1-INDEX(discounts[#All],MATCH($O83,discounts[[#All],[Discount Level]],0),MATCH(lettershopAddPricing[[#Headers],[≥ 5,000]],lettershopAddPricing[[#Headers],[≥ 1]:[≥ 150,000]],0))),2)</f>
        <v>63.05</v>
      </c>
      <c r="F83" s="167">
        <f>ROUND($D83*(1-INDEX(discounts[#All],MATCH($O83,discounts[[#All],[Discount Level]],0),MATCH(lettershopAddPricing[[#Headers],[≥ 10,000]],lettershopAddPricing[[#Headers],[≥ 1]:[≥ 150,000]],0))),2)</f>
        <v>59.64</v>
      </c>
      <c r="G83" s="167">
        <f>ROUND($D83*(1-INDEX(discounts[#All],MATCH($O83,discounts[[#All],[Discount Level]],0),MATCH(lettershopAddPricing[[#Headers],[≥ 15,000]],lettershopAddPricing[[#Headers],[≥ 1]:[≥ 150,000]],0))),2)</f>
        <v>56.23</v>
      </c>
      <c r="H83" s="167">
        <f>ROUND($D83*(1-INDEX(discounts[#All],MATCH($O83,discounts[[#All],[Discount Level]],0),MATCH(lettershopAddPricing[[#Headers],[≥ 20,000]],lettershopAddPricing[[#Headers],[≥ 1]:[≥ 150,000]],0))),2)</f>
        <v>54.53</v>
      </c>
      <c r="I83" s="167">
        <f>ROUND($D83*(1-INDEX(discounts[#All],MATCH($O83,discounts[[#All],[Discount Level]],0),MATCH(lettershopAddPricing[[#Headers],[≥ 25,000]],lettershopAddPricing[[#Headers],[≥ 1]:[≥ 150,000]],0))),2)</f>
        <v>51.12</v>
      </c>
      <c r="J83" s="167">
        <f>ROUND($D83*(1-INDEX(discounts[#All],MATCH($O83,discounts[[#All],[Discount Level]],0),MATCH(lettershopAddPricing[[#Headers],[≥ 35,000]],lettershopAddPricing[[#Headers],[≥ 1]:[≥ 150,000]],0))),2)</f>
        <v>47.71</v>
      </c>
      <c r="K83" s="167">
        <f>ROUND($D83*(1-INDEX(discounts[#All],MATCH($O83,discounts[[#All],[Discount Level]],0),MATCH(lettershopAddPricing[[#Headers],[≥ 50,000]],lettershopAddPricing[[#Headers],[≥ 1]:[≥ 150,000]],0))),2)</f>
        <v>44.3</v>
      </c>
      <c r="L83" s="167">
        <f>ROUND($D83*(1-INDEX(discounts[#All],MATCH($O83,discounts[[#All],[Discount Level]],0),MATCH(lettershopAddPricing[[#Headers],[≥ 75,000]],lettershopAddPricing[[#Headers],[≥ 1]:[≥ 150,000]],0))),2)</f>
        <v>40.9</v>
      </c>
      <c r="M83" s="167">
        <f>ROUND($D83*(1-INDEX(discounts[#All],MATCH($O83,discounts[[#All],[Discount Level]],0),MATCH(lettershopAddPricing[[#Headers],[≥ 100,000]],lettershopAddPricing[[#Headers],[≥ 1]:[≥ 150,000]],0))),2)</f>
        <v>39.19</v>
      </c>
      <c r="N83" s="167">
        <f>ROUND($D83*(1-INDEX(discounts[#All],MATCH($O83,discounts[[#All],[Discount Level]],0),MATCH(lettershopAddPricing[[#Headers],[≥ 150,000]],lettershopAddPricing[[#Headers],[≥ 1]:[≥ 150,000]],0))),2)</f>
        <v>37.49</v>
      </c>
      <c r="O83" s="171" t="s">
        <v>425</v>
      </c>
    </row>
    <row r="84" spans="1:15" ht="27" customHeight="1" x14ac:dyDescent="0.25">
      <c r="A84" s="160" t="s">
        <v>423</v>
      </c>
      <c r="B84" s="169" t="s">
        <v>428</v>
      </c>
      <c r="C84" s="142">
        <v>40</v>
      </c>
      <c r="D84" s="170">
        <v>43.05</v>
      </c>
      <c r="E84" s="167">
        <f>ROUND($D84*(1-INDEX(discounts[#All],MATCH($O84,discounts[[#All],[Discount Level]],0),MATCH(lettershopAddPricing[[#Headers],[≥ 5,000]],lettershopAddPricing[[#Headers],[≥ 1]:[≥ 150,000]],0))),2)</f>
        <v>39.82</v>
      </c>
      <c r="F84" s="167">
        <f>ROUND($D84*(1-INDEX(discounts[#All],MATCH($O84,discounts[[#All],[Discount Level]],0),MATCH(lettershopAddPricing[[#Headers],[≥ 10,000]],lettershopAddPricing[[#Headers],[≥ 1]:[≥ 150,000]],0))),2)</f>
        <v>37.67</v>
      </c>
      <c r="G84" s="167">
        <f>ROUND($D84*(1-INDEX(discounts[#All],MATCH($O84,discounts[[#All],[Discount Level]],0),MATCH(lettershopAddPricing[[#Headers],[≥ 15,000]],lettershopAddPricing[[#Headers],[≥ 1]:[≥ 150,000]],0))),2)</f>
        <v>35.520000000000003</v>
      </c>
      <c r="H84" s="167">
        <f>ROUND($D84*(1-INDEX(discounts[#All],MATCH($O84,discounts[[#All],[Discount Level]],0),MATCH(lettershopAddPricing[[#Headers],[≥ 20,000]],lettershopAddPricing[[#Headers],[≥ 1]:[≥ 150,000]],0))),2)</f>
        <v>34.44</v>
      </c>
      <c r="I84" s="167">
        <f>ROUND($D84*(1-INDEX(discounts[#All],MATCH($O84,discounts[[#All],[Discount Level]],0),MATCH(lettershopAddPricing[[#Headers],[≥ 25,000]],lettershopAddPricing[[#Headers],[≥ 1]:[≥ 150,000]],0))),2)</f>
        <v>32.29</v>
      </c>
      <c r="J84" s="167">
        <f>ROUND($D84*(1-INDEX(discounts[#All],MATCH($O84,discounts[[#All],[Discount Level]],0),MATCH(lettershopAddPricing[[#Headers],[≥ 35,000]],lettershopAddPricing[[#Headers],[≥ 1]:[≥ 150,000]],0))),2)</f>
        <v>30.14</v>
      </c>
      <c r="K84" s="167">
        <f>ROUND($D84*(1-INDEX(discounts[#All],MATCH($O84,discounts[[#All],[Discount Level]],0),MATCH(lettershopAddPricing[[#Headers],[≥ 50,000]],lettershopAddPricing[[#Headers],[≥ 1]:[≥ 150,000]],0))),2)</f>
        <v>27.98</v>
      </c>
      <c r="L84" s="167">
        <f>ROUND($D84*(1-INDEX(discounts[#All],MATCH($O84,discounts[[#All],[Discount Level]],0),MATCH(lettershopAddPricing[[#Headers],[≥ 75,000]],lettershopAddPricing[[#Headers],[≥ 1]:[≥ 150,000]],0))),2)</f>
        <v>25.83</v>
      </c>
      <c r="M84" s="167">
        <f>ROUND($D84*(1-INDEX(discounts[#All],MATCH($O84,discounts[[#All],[Discount Level]],0),MATCH(lettershopAddPricing[[#Headers],[≥ 100,000]],lettershopAddPricing[[#Headers],[≥ 1]:[≥ 150,000]],0))),2)</f>
        <v>24.75</v>
      </c>
      <c r="N84" s="167">
        <f>ROUND($D84*(1-INDEX(discounts[#All],MATCH($O84,discounts[[#All],[Discount Level]],0),MATCH(lettershopAddPricing[[#Headers],[≥ 150,000]],lettershopAddPricing[[#Headers],[≥ 1]:[≥ 150,000]],0))),2)</f>
        <v>23.68</v>
      </c>
      <c r="O84" s="171" t="s">
        <v>425</v>
      </c>
    </row>
    <row r="85" spans="1:15" ht="27" customHeight="1" x14ac:dyDescent="0.25">
      <c r="A85" s="160" t="s">
        <v>423</v>
      </c>
      <c r="B85" s="169" t="s">
        <v>429</v>
      </c>
      <c r="C85" s="142">
        <v>40</v>
      </c>
      <c r="D85" s="170">
        <v>61.5</v>
      </c>
      <c r="E85" s="167">
        <f>ROUND($D85*(1-INDEX(discounts[#All],MATCH($O85,discounts[[#All],[Discount Level]],0),MATCH(lettershopAddPricing[[#Headers],[≥ 5,000]],lettershopAddPricing[[#Headers],[≥ 1]:[≥ 150,000]],0))),2)</f>
        <v>56.89</v>
      </c>
      <c r="F85" s="167">
        <f>ROUND($D85*(1-INDEX(discounts[#All],MATCH($O85,discounts[[#All],[Discount Level]],0),MATCH(lettershopAddPricing[[#Headers],[≥ 10,000]],lettershopAddPricing[[#Headers],[≥ 1]:[≥ 150,000]],0))),2)</f>
        <v>53.81</v>
      </c>
      <c r="G85" s="167">
        <f>ROUND($D85*(1-INDEX(discounts[#All],MATCH($O85,discounts[[#All],[Discount Level]],0),MATCH(lettershopAddPricing[[#Headers],[≥ 15,000]],lettershopAddPricing[[#Headers],[≥ 1]:[≥ 150,000]],0))),2)</f>
        <v>50.74</v>
      </c>
      <c r="H85" s="167">
        <f>ROUND($D85*(1-INDEX(discounts[#All],MATCH($O85,discounts[[#All],[Discount Level]],0),MATCH(lettershopAddPricing[[#Headers],[≥ 20,000]],lettershopAddPricing[[#Headers],[≥ 1]:[≥ 150,000]],0))),2)</f>
        <v>49.2</v>
      </c>
      <c r="I85" s="167">
        <f>ROUND($D85*(1-INDEX(discounts[#All],MATCH($O85,discounts[[#All],[Discount Level]],0),MATCH(lettershopAddPricing[[#Headers],[≥ 25,000]],lettershopAddPricing[[#Headers],[≥ 1]:[≥ 150,000]],0))),2)</f>
        <v>46.13</v>
      </c>
      <c r="J85" s="167">
        <f>ROUND($D85*(1-INDEX(discounts[#All],MATCH($O85,discounts[[#All],[Discount Level]],0),MATCH(lettershopAddPricing[[#Headers],[≥ 35,000]],lettershopAddPricing[[#Headers],[≥ 1]:[≥ 150,000]],0))),2)</f>
        <v>43.05</v>
      </c>
      <c r="K85" s="167">
        <f>ROUND($D85*(1-INDEX(discounts[#All],MATCH($O85,discounts[[#All],[Discount Level]],0),MATCH(lettershopAddPricing[[#Headers],[≥ 50,000]],lettershopAddPricing[[#Headers],[≥ 1]:[≥ 150,000]],0))),2)</f>
        <v>39.979999999999997</v>
      </c>
      <c r="L85" s="167">
        <f>ROUND($D85*(1-INDEX(discounts[#All],MATCH($O85,discounts[[#All],[Discount Level]],0),MATCH(lettershopAddPricing[[#Headers],[≥ 75,000]],lettershopAddPricing[[#Headers],[≥ 1]:[≥ 150,000]],0))),2)</f>
        <v>36.9</v>
      </c>
      <c r="M85" s="167">
        <f>ROUND($D85*(1-INDEX(discounts[#All],MATCH($O85,discounts[[#All],[Discount Level]],0),MATCH(lettershopAddPricing[[#Headers],[≥ 100,000]],lettershopAddPricing[[#Headers],[≥ 1]:[≥ 150,000]],0))),2)</f>
        <v>35.36</v>
      </c>
      <c r="N85" s="167">
        <f>ROUND($D85*(1-INDEX(discounts[#All],MATCH($O85,discounts[[#All],[Discount Level]],0),MATCH(lettershopAddPricing[[#Headers],[≥ 150,000]],lettershopAddPricing[[#Headers],[≥ 1]:[≥ 150,000]],0))),2)</f>
        <v>33.83</v>
      </c>
      <c r="O85" s="171" t="s">
        <v>425</v>
      </c>
    </row>
    <row r="86" spans="1:15" ht="27" customHeight="1" x14ac:dyDescent="0.25">
      <c r="A86" s="160" t="s">
        <v>430</v>
      </c>
      <c r="B86" s="172" t="s">
        <v>431</v>
      </c>
      <c r="C86" s="173">
        <v>40</v>
      </c>
      <c r="D86" s="174">
        <v>43.05</v>
      </c>
      <c r="E86" s="167">
        <f>ROUND($D86*(1-INDEX(discounts[#All],MATCH($O86,discounts[[#All],[Discount Level]],0),MATCH(lettershopAddPricing[[#Headers],[≥ 5,000]],lettershopAddPricing[[#Headers],[≥ 1]:[≥ 150,000]],0))),2)</f>
        <v>39.82</v>
      </c>
      <c r="F86" s="167">
        <f>ROUND($D86*(1-INDEX(discounts[#All],MATCH($O86,discounts[[#All],[Discount Level]],0),MATCH(lettershopAddPricing[[#Headers],[≥ 10,000]],lettershopAddPricing[[#Headers],[≥ 1]:[≥ 150,000]],0))),2)</f>
        <v>37.67</v>
      </c>
      <c r="G86" s="167">
        <f>ROUND($D86*(1-INDEX(discounts[#All],MATCH($O86,discounts[[#All],[Discount Level]],0),MATCH(lettershopAddPricing[[#Headers],[≥ 15,000]],lettershopAddPricing[[#Headers],[≥ 1]:[≥ 150,000]],0))),2)</f>
        <v>35.520000000000003</v>
      </c>
      <c r="H86" s="167">
        <f>ROUND($D86*(1-INDEX(discounts[#All],MATCH($O86,discounts[[#All],[Discount Level]],0),MATCH(lettershopAddPricing[[#Headers],[≥ 20,000]],lettershopAddPricing[[#Headers],[≥ 1]:[≥ 150,000]],0))),2)</f>
        <v>34.44</v>
      </c>
      <c r="I86" s="167">
        <f>ROUND($D86*(1-INDEX(discounts[#All],MATCH($O86,discounts[[#All],[Discount Level]],0),MATCH(lettershopAddPricing[[#Headers],[≥ 25,000]],lettershopAddPricing[[#Headers],[≥ 1]:[≥ 150,000]],0))),2)</f>
        <v>32.29</v>
      </c>
      <c r="J86" s="167">
        <f>ROUND($D86*(1-INDEX(discounts[#All],MATCH($O86,discounts[[#All],[Discount Level]],0),MATCH(lettershopAddPricing[[#Headers],[≥ 35,000]],lettershopAddPricing[[#Headers],[≥ 1]:[≥ 150,000]],0))),2)</f>
        <v>30.14</v>
      </c>
      <c r="K86" s="167">
        <f>ROUND($D86*(1-INDEX(discounts[#All],MATCH($O86,discounts[[#All],[Discount Level]],0),MATCH(lettershopAddPricing[[#Headers],[≥ 50,000]],lettershopAddPricing[[#Headers],[≥ 1]:[≥ 150,000]],0))),2)</f>
        <v>27.98</v>
      </c>
      <c r="L86" s="167">
        <f>ROUND($D86*(1-INDEX(discounts[#All],MATCH($O86,discounts[[#All],[Discount Level]],0),MATCH(lettershopAddPricing[[#Headers],[≥ 75,000]],lettershopAddPricing[[#Headers],[≥ 1]:[≥ 150,000]],0))),2)</f>
        <v>25.83</v>
      </c>
      <c r="M86" s="167">
        <f>ROUND($D86*(1-INDEX(discounts[#All],MATCH($O86,discounts[[#All],[Discount Level]],0),MATCH(lettershopAddPricing[[#Headers],[≥ 100,000]],lettershopAddPricing[[#Headers],[≥ 1]:[≥ 150,000]],0))),2)</f>
        <v>24.75</v>
      </c>
      <c r="N86" s="167">
        <f>ROUND($D86*(1-INDEX(discounts[#All],MATCH($O86,discounts[[#All],[Discount Level]],0),MATCH(lettershopAddPricing[[#Headers],[≥ 150,000]],lettershopAddPricing[[#Headers],[≥ 1]:[≥ 150,000]],0))),2)</f>
        <v>23.68</v>
      </c>
      <c r="O86" s="175" t="s">
        <v>425</v>
      </c>
    </row>
    <row r="87" spans="1:15" ht="27" customHeight="1" x14ac:dyDescent="0.25">
      <c r="A87" s="160" t="s">
        <v>432</v>
      </c>
      <c r="B87" s="169" t="s">
        <v>433</v>
      </c>
      <c r="C87" s="142">
        <v>40</v>
      </c>
      <c r="D87" s="170">
        <v>50.23</v>
      </c>
      <c r="E87" s="167">
        <f>ROUND($D87*(1-INDEX(discounts[#All],MATCH($O87,discounts[[#All],[Discount Level]],0),MATCH(lettershopAddPricing[[#Headers],[≥ 5,000]],lettershopAddPricing[[#Headers],[≥ 1]:[≥ 150,000]],0))),2)</f>
        <v>37.67</v>
      </c>
      <c r="F87" s="167">
        <f>ROUND($D87*(1-INDEX(discounts[#All],MATCH($O87,discounts[[#All],[Discount Level]],0),MATCH(lettershopAddPricing[[#Headers],[≥ 10,000]],lettershopAddPricing[[#Headers],[≥ 1]:[≥ 150,000]],0))),2)</f>
        <v>36.42</v>
      </c>
      <c r="G87" s="167">
        <f>ROUND($D87*(1-INDEX(discounts[#All],MATCH($O87,discounts[[#All],[Discount Level]],0),MATCH(lettershopAddPricing[[#Headers],[≥ 15,000]],lettershopAddPricing[[#Headers],[≥ 1]:[≥ 150,000]],0))),2)</f>
        <v>35.159999999999997</v>
      </c>
      <c r="H87" s="167">
        <f>ROUND($D87*(1-INDEX(discounts[#All],MATCH($O87,discounts[[#All],[Discount Level]],0),MATCH(lettershopAddPricing[[#Headers],[≥ 20,000]],lettershopAddPricing[[#Headers],[≥ 1]:[≥ 150,000]],0))),2)</f>
        <v>32.65</v>
      </c>
      <c r="I87" s="167">
        <f>ROUND($D87*(1-INDEX(discounts[#All],MATCH($O87,discounts[[#All],[Discount Level]],0),MATCH(lettershopAddPricing[[#Headers],[≥ 25,000]],lettershopAddPricing[[#Headers],[≥ 1]:[≥ 150,000]],0))),2)</f>
        <v>30.14</v>
      </c>
      <c r="J87" s="167">
        <f>ROUND($D87*(1-INDEX(discounts[#All],MATCH($O87,discounts[[#All],[Discount Level]],0),MATCH(lettershopAddPricing[[#Headers],[≥ 35,000]],lettershopAddPricing[[#Headers],[≥ 1]:[≥ 150,000]],0))),2)</f>
        <v>27.63</v>
      </c>
      <c r="K87" s="167">
        <f>ROUND($D87*(1-INDEX(discounts[#All],MATCH($O87,discounts[[#All],[Discount Level]],0),MATCH(lettershopAddPricing[[#Headers],[≥ 50,000]],lettershopAddPricing[[#Headers],[≥ 1]:[≥ 150,000]],0))),2)</f>
        <v>25.12</v>
      </c>
      <c r="L87" s="167">
        <f>ROUND($D87*(1-INDEX(discounts[#All],MATCH($O87,discounts[[#All],[Discount Level]],0),MATCH(lettershopAddPricing[[#Headers],[≥ 75,000]],lettershopAddPricing[[#Headers],[≥ 1]:[≥ 150,000]],0))),2)</f>
        <v>22.6</v>
      </c>
      <c r="M87" s="167">
        <f>ROUND($D87*(1-INDEX(discounts[#All],MATCH($O87,discounts[[#All],[Discount Level]],0),MATCH(lettershopAddPricing[[#Headers],[≥ 100,000]],lettershopAddPricing[[#Headers],[≥ 1]:[≥ 150,000]],0))),2)</f>
        <v>21.35</v>
      </c>
      <c r="N87" s="167">
        <f>ROUND($D87*(1-INDEX(discounts[#All],MATCH($O87,discounts[[#All],[Discount Level]],0),MATCH(lettershopAddPricing[[#Headers],[≥ 150,000]],lettershopAddPricing[[#Headers],[≥ 1]:[≥ 150,000]],0))),2)</f>
        <v>20.09</v>
      </c>
      <c r="O87" s="175" t="s">
        <v>434</v>
      </c>
    </row>
    <row r="88" spans="1:15" ht="27" customHeight="1" x14ac:dyDescent="0.25">
      <c r="A88" s="144" t="s">
        <v>435</v>
      </c>
      <c r="B88" s="176" t="s">
        <v>436</v>
      </c>
      <c r="C88" s="177">
        <v>40</v>
      </c>
      <c r="D88" s="178">
        <v>51.25</v>
      </c>
      <c r="E88" s="158">
        <f>ROUND($D88*(1-INDEX(discounts[#All],MATCH($O88,discounts[[#All],[Discount Level]],0),MATCH(lettershopAddPricing[[#Headers],[≥ 5,000]],lettershopAddPricing[[#Headers],[≥ 1]:[≥ 150,000]],0))),2)</f>
        <v>38.44</v>
      </c>
      <c r="F88" s="158">
        <f>ROUND($D88*(1-INDEX(discounts[#All],MATCH($O88,discounts[[#All],[Discount Level]],0),MATCH(lettershopAddPricing[[#Headers],[≥ 10,000]],lettershopAddPricing[[#Headers],[≥ 1]:[≥ 150,000]],0))),2)</f>
        <v>37.159999999999997</v>
      </c>
      <c r="G88" s="158">
        <f>ROUND($D88*(1-INDEX(discounts[#All],MATCH($O88,discounts[[#All],[Discount Level]],0),MATCH(lettershopAddPricing[[#Headers],[≥ 15,000]],lettershopAddPricing[[#Headers],[≥ 1]:[≥ 150,000]],0))),2)</f>
        <v>35.880000000000003</v>
      </c>
      <c r="H88" s="158">
        <f>ROUND($D88*(1-INDEX(discounts[#All],MATCH($O88,discounts[[#All],[Discount Level]],0),MATCH(lettershopAddPricing[[#Headers],[≥ 20,000]],lettershopAddPricing[[#Headers],[≥ 1]:[≥ 150,000]],0))),2)</f>
        <v>33.31</v>
      </c>
      <c r="I88" s="158">
        <f>ROUND($D88*(1-INDEX(discounts[#All],MATCH($O88,discounts[[#All],[Discount Level]],0),MATCH(lettershopAddPricing[[#Headers],[≥ 25,000]],lettershopAddPricing[[#Headers],[≥ 1]:[≥ 150,000]],0))),2)</f>
        <v>30.75</v>
      </c>
      <c r="J88" s="158">
        <f>ROUND($D88*(1-INDEX(discounts[#All],MATCH($O88,discounts[[#All],[Discount Level]],0),MATCH(lettershopAddPricing[[#Headers],[≥ 35,000]],lettershopAddPricing[[#Headers],[≥ 1]:[≥ 150,000]],0))),2)</f>
        <v>28.19</v>
      </c>
      <c r="K88" s="158">
        <f>ROUND($D88*(1-INDEX(discounts[#All],MATCH($O88,discounts[[#All],[Discount Level]],0),MATCH(lettershopAddPricing[[#Headers],[≥ 50,000]],lettershopAddPricing[[#Headers],[≥ 1]:[≥ 150,000]],0))),2)</f>
        <v>25.63</v>
      </c>
      <c r="L88" s="158">
        <f>ROUND($D88*(1-INDEX(discounts[#All],MATCH($O88,discounts[[#All],[Discount Level]],0),MATCH(lettershopAddPricing[[#Headers],[≥ 75,000]],lettershopAddPricing[[#Headers],[≥ 1]:[≥ 150,000]],0))),2)</f>
        <v>23.06</v>
      </c>
      <c r="M88" s="158">
        <f>ROUND($D88*(1-INDEX(discounts[#All],MATCH($O88,discounts[[#All],[Discount Level]],0),MATCH(lettershopAddPricing[[#Headers],[≥ 100,000]],lettershopAddPricing[[#Headers],[≥ 1]:[≥ 150,000]],0))),2)</f>
        <v>21.78</v>
      </c>
      <c r="N88" s="158">
        <f>ROUND($D88*(1-INDEX(discounts[#All],MATCH($O88,discounts[[#All],[Discount Level]],0),MATCH(lettershopAddPricing[[#Headers],[≥ 150,000]],lettershopAddPricing[[#Headers],[≥ 1]:[≥ 150,000]],0))),2)</f>
        <v>20.5</v>
      </c>
      <c r="O88" s="179" t="s">
        <v>434</v>
      </c>
    </row>
    <row r="89" spans="1:15" ht="27" customHeight="1" x14ac:dyDescent="0.25">
      <c r="A89" s="144" t="s">
        <v>437</v>
      </c>
      <c r="B89" s="176" t="s">
        <v>438</v>
      </c>
      <c r="C89" s="177">
        <v>45</v>
      </c>
      <c r="D89" s="178">
        <v>55.35</v>
      </c>
      <c r="E89" s="158">
        <f>ROUND($D89*(1-INDEX(discounts[#All],MATCH($O89,discounts[[#All],[Discount Level]],0),MATCH(lettershopAddPricing[[#Headers],[≥ 5,000]],lettershopAddPricing[[#Headers],[≥ 1]:[≥ 150,000]],0))),2)</f>
        <v>51.2</v>
      </c>
      <c r="F89" s="158">
        <f>ROUND($D89*(1-INDEX(discounts[#All],MATCH($O89,discounts[[#All],[Discount Level]],0),MATCH(lettershopAddPricing[[#Headers],[≥ 10,000]],lettershopAddPricing[[#Headers],[≥ 1]:[≥ 150,000]],0))),2)</f>
        <v>48.43</v>
      </c>
      <c r="G89" s="158">
        <f>ROUND($D89*(1-INDEX(discounts[#All],MATCH($O89,discounts[[#All],[Discount Level]],0),MATCH(lettershopAddPricing[[#Headers],[≥ 15,000]],lettershopAddPricing[[#Headers],[≥ 1]:[≥ 150,000]],0))),2)</f>
        <v>45.66</v>
      </c>
      <c r="H89" s="158">
        <f>ROUND($D89*(1-INDEX(discounts[#All],MATCH($O89,discounts[[#All],[Discount Level]],0),MATCH(lettershopAddPricing[[#Headers],[≥ 20,000]],lettershopAddPricing[[#Headers],[≥ 1]:[≥ 150,000]],0))),2)</f>
        <v>44.28</v>
      </c>
      <c r="I89" s="158">
        <f>ROUND($D89*(1-INDEX(discounts[#All],MATCH($O89,discounts[[#All],[Discount Level]],0),MATCH(lettershopAddPricing[[#Headers],[≥ 25,000]],lettershopAddPricing[[#Headers],[≥ 1]:[≥ 150,000]],0))),2)</f>
        <v>41.51</v>
      </c>
      <c r="J89" s="158">
        <f>ROUND($D89*(1-INDEX(discounts[#All],MATCH($O89,discounts[[#All],[Discount Level]],0),MATCH(lettershopAddPricing[[#Headers],[≥ 35,000]],lettershopAddPricing[[#Headers],[≥ 1]:[≥ 150,000]],0))),2)</f>
        <v>38.75</v>
      </c>
      <c r="K89" s="158">
        <f>ROUND($D89*(1-INDEX(discounts[#All],MATCH($O89,discounts[[#All],[Discount Level]],0),MATCH(lettershopAddPricing[[#Headers],[≥ 50,000]],lettershopAddPricing[[#Headers],[≥ 1]:[≥ 150,000]],0))),2)</f>
        <v>35.979999999999997</v>
      </c>
      <c r="L89" s="158">
        <f>ROUND($D89*(1-INDEX(discounts[#All],MATCH($O89,discounts[[#All],[Discount Level]],0),MATCH(lettershopAddPricing[[#Headers],[≥ 75,000]],lettershopAddPricing[[#Headers],[≥ 1]:[≥ 150,000]],0))),2)</f>
        <v>33.21</v>
      </c>
      <c r="M89" s="158">
        <f>ROUND($D89*(1-INDEX(discounts[#All],MATCH($O89,discounts[[#All],[Discount Level]],0),MATCH(lettershopAddPricing[[#Headers],[≥ 100,000]],lettershopAddPricing[[#Headers],[≥ 1]:[≥ 150,000]],0))),2)</f>
        <v>31.83</v>
      </c>
      <c r="N89" s="158">
        <f>ROUND($D89*(1-INDEX(discounts[#All],MATCH($O89,discounts[[#All],[Discount Level]],0),MATCH(lettershopAddPricing[[#Headers],[≥ 150,000]],lettershopAddPricing[[#Headers],[≥ 1]:[≥ 150,000]],0))),2)</f>
        <v>30.44</v>
      </c>
      <c r="O89" s="179" t="s">
        <v>425</v>
      </c>
    </row>
    <row r="90" spans="1:15" ht="27" customHeight="1" x14ac:dyDescent="0.25">
      <c r="A90" s="144" t="s">
        <v>437</v>
      </c>
      <c r="B90" s="176" t="s">
        <v>439</v>
      </c>
      <c r="C90" s="177">
        <v>45</v>
      </c>
      <c r="D90" s="178">
        <v>60.48</v>
      </c>
      <c r="E90" s="158">
        <f>ROUND($D90*(1-INDEX(discounts[#All],MATCH($O90,discounts[[#All],[Discount Level]],0),MATCH(lettershopAddPricing[[#Headers],[≥ 5,000]],lettershopAddPricing[[#Headers],[≥ 1]:[≥ 150,000]],0))),2)</f>
        <v>55.94</v>
      </c>
      <c r="F90" s="158">
        <f>ROUND($D90*(1-INDEX(discounts[#All],MATCH($O90,discounts[[#All],[Discount Level]],0),MATCH(lettershopAddPricing[[#Headers],[≥ 10,000]],lettershopAddPricing[[#Headers],[≥ 1]:[≥ 150,000]],0))),2)</f>
        <v>52.92</v>
      </c>
      <c r="G90" s="158">
        <f>ROUND($D90*(1-INDEX(discounts[#All],MATCH($O90,discounts[[#All],[Discount Level]],0),MATCH(lettershopAddPricing[[#Headers],[≥ 15,000]],lettershopAddPricing[[#Headers],[≥ 1]:[≥ 150,000]],0))),2)</f>
        <v>49.9</v>
      </c>
      <c r="H90" s="158">
        <f>ROUND($D90*(1-INDEX(discounts[#All],MATCH($O90,discounts[[#All],[Discount Level]],0),MATCH(lettershopAddPricing[[#Headers],[≥ 20,000]],lettershopAddPricing[[#Headers],[≥ 1]:[≥ 150,000]],0))),2)</f>
        <v>48.38</v>
      </c>
      <c r="I90" s="158">
        <f>ROUND($D90*(1-INDEX(discounts[#All],MATCH($O90,discounts[[#All],[Discount Level]],0),MATCH(lettershopAddPricing[[#Headers],[≥ 25,000]],lettershopAddPricing[[#Headers],[≥ 1]:[≥ 150,000]],0))),2)</f>
        <v>45.36</v>
      </c>
      <c r="J90" s="158">
        <f>ROUND($D90*(1-INDEX(discounts[#All],MATCH($O90,discounts[[#All],[Discount Level]],0),MATCH(lettershopAddPricing[[#Headers],[≥ 35,000]],lettershopAddPricing[[#Headers],[≥ 1]:[≥ 150,000]],0))),2)</f>
        <v>42.34</v>
      </c>
      <c r="K90" s="158">
        <f>ROUND($D90*(1-INDEX(discounts[#All],MATCH($O90,discounts[[#All],[Discount Level]],0),MATCH(lettershopAddPricing[[#Headers],[≥ 50,000]],lettershopAddPricing[[#Headers],[≥ 1]:[≥ 150,000]],0))),2)</f>
        <v>39.31</v>
      </c>
      <c r="L90" s="158">
        <f>ROUND($D90*(1-INDEX(discounts[#All],MATCH($O90,discounts[[#All],[Discount Level]],0),MATCH(lettershopAddPricing[[#Headers],[≥ 75,000]],lettershopAddPricing[[#Headers],[≥ 1]:[≥ 150,000]],0))),2)</f>
        <v>36.29</v>
      </c>
      <c r="M90" s="158">
        <f>ROUND($D90*(1-INDEX(discounts[#All],MATCH($O90,discounts[[#All],[Discount Level]],0),MATCH(lettershopAddPricing[[#Headers],[≥ 100,000]],lettershopAddPricing[[#Headers],[≥ 1]:[≥ 150,000]],0))),2)</f>
        <v>34.78</v>
      </c>
      <c r="N90" s="158">
        <f>ROUND($D90*(1-INDEX(discounts[#All],MATCH($O90,discounts[[#All],[Discount Level]],0),MATCH(lettershopAddPricing[[#Headers],[≥ 150,000]],lettershopAddPricing[[#Headers],[≥ 1]:[≥ 150,000]],0))),2)</f>
        <v>33.26</v>
      </c>
      <c r="O90" s="179" t="s">
        <v>425</v>
      </c>
    </row>
    <row r="91" spans="1:15" ht="27" customHeight="1" x14ac:dyDescent="0.25">
      <c r="A91" s="144" t="s">
        <v>437</v>
      </c>
      <c r="B91" s="176" t="s">
        <v>440</v>
      </c>
      <c r="C91" s="177">
        <v>50</v>
      </c>
      <c r="D91" s="178">
        <v>73.290000000000006</v>
      </c>
      <c r="E91" s="158">
        <f>ROUND($D91*(1-INDEX(discounts[#All],MATCH($O91,discounts[[#All],[Discount Level]],0),MATCH(lettershopAddPricing[[#Headers],[≥ 5,000]],lettershopAddPricing[[#Headers],[≥ 1]:[≥ 150,000]],0))),2)</f>
        <v>67.790000000000006</v>
      </c>
      <c r="F91" s="158">
        <f>ROUND($D91*(1-INDEX(discounts[#All],MATCH($O91,discounts[[#All],[Discount Level]],0),MATCH(lettershopAddPricing[[#Headers],[≥ 10,000]],lettershopAddPricing[[#Headers],[≥ 1]:[≥ 150,000]],0))),2)</f>
        <v>64.13</v>
      </c>
      <c r="G91" s="158">
        <f>ROUND($D91*(1-INDEX(discounts[#All],MATCH($O91,discounts[[#All],[Discount Level]],0),MATCH(lettershopAddPricing[[#Headers],[≥ 15,000]],lettershopAddPricing[[#Headers],[≥ 1]:[≥ 150,000]],0))),2)</f>
        <v>60.46</v>
      </c>
      <c r="H91" s="158">
        <f>ROUND($D91*(1-INDEX(discounts[#All],MATCH($O91,discounts[[#All],[Discount Level]],0),MATCH(lettershopAddPricing[[#Headers],[≥ 20,000]],lettershopAddPricing[[#Headers],[≥ 1]:[≥ 150,000]],0))),2)</f>
        <v>58.63</v>
      </c>
      <c r="I91" s="158">
        <f>ROUND($D91*(1-INDEX(discounts[#All],MATCH($O91,discounts[[#All],[Discount Level]],0),MATCH(lettershopAddPricing[[#Headers],[≥ 25,000]],lettershopAddPricing[[#Headers],[≥ 1]:[≥ 150,000]],0))),2)</f>
        <v>54.97</v>
      </c>
      <c r="J91" s="158">
        <f>ROUND($D91*(1-INDEX(discounts[#All],MATCH($O91,discounts[[#All],[Discount Level]],0),MATCH(lettershopAddPricing[[#Headers],[≥ 35,000]],lettershopAddPricing[[#Headers],[≥ 1]:[≥ 150,000]],0))),2)</f>
        <v>51.3</v>
      </c>
      <c r="K91" s="158">
        <f>ROUND($D91*(1-INDEX(discounts[#All],MATCH($O91,discounts[[#All],[Discount Level]],0),MATCH(lettershopAddPricing[[#Headers],[≥ 50,000]],lettershopAddPricing[[#Headers],[≥ 1]:[≥ 150,000]],0))),2)</f>
        <v>47.64</v>
      </c>
      <c r="L91" s="158">
        <f>ROUND($D91*(1-INDEX(discounts[#All],MATCH($O91,discounts[[#All],[Discount Level]],0),MATCH(lettershopAddPricing[[#Headers],[≥ 75,000]],lettershopAddPricing[[#Headers],[≥ 1]:[≥ 150,000]],0))),2)</f>
        <v>43.97</v>
      </c>
      <c r="M91" s="158">
        <f>ROUND($D91*(1-INDEX(discounts[#All],MATCH($O91,discounts[[#All],[Discount Level]],0),MATCH(lettershopAddPricing[[#Headers],[≥ 100,000]],lettershopAddPricing[[#Headers],[≥ 1]:[≥ 150,000]],0))),2)</f>
        <v>42.14</v>
      </c>
      <c r="N91" s="158">
        <f>ROUND($D91*(1-INDEX(discounts[#All],MATCH($O91,discounts[[#All],[Discount Level]],0),MATCH(lettershopAddPricing[[#Headers],[≥ 150,000]],lettershopAddPricing[[#Headers],[≥ 1]:[≥ 150,000]],0))),2)</f>
        <v>40.31</v>
      </c>
      <c r="O91" s="179" t="s">
        <v>425</v>
      </c>
    </row>
    <row r="92" spans="1:15" ht="27" customHeight="1" x14ac:dyDescent="0.25">
      <c r="A92" s="144" t="s">
        <v>437</v>
      </c>
      <c r="B92" s="176" t="s">
        <v>441</v>
      </c>
      <c r="C92" s="177">
        <v>45</v>
      </c>
      <c r="D92" s="178">
        <v>72.260000000000005</v>
      </c>
      <c r="E92" s="158">
        <f>ROUND($D92*(1-INDEX(discounts[#All],MATCH($O92,discounts[[#All],[Discount Level]],0),MATCH(lettershopAddPricing[[#Headers],[≥ 5,000]],lettershopAddPricing[[#Headers],[≥ 1]:[≥ 150,000]],0))),2)</f>
        <v>66.84</v>
      </c>
      <c r="F92" s="158">
        <f>ROUND($D92*(1-INDEX(discounts[#All],MATCH($O92,discounts[[#All],[Discount Level]],0),MATCH(lettershopAddPricing[[#Headers],[≥ 10,000]],lettershopAddPricing[[#Headers],[≥ 1]:[≥ 150,000]],0))),2)</f>
        <v>63.23</v>
      </c>
      <c r="G92" s="158">
        <f>ROUND($D92*(1-INDEX(discounts[#All],MATCH($O92,discounts[[#All],[Discount Level]],0),MATCH(lettershopAddPricing[[#Headers],[≥ 15,000]],lettershopAddPricing[[#Headers],[≥ 1]:[≥ 150,000]],0))),2)</f>
        <v>59.61</v>
      </c>
      <c r="H92" s="158">
        <f>ROUND($D92*(1-INDEX(discounts[#All],MATCH($O92,discounts[[#All],[Discount Level]],0),MATCH(lettershopAddPricing[[#Headers],[≥ 20,000]],lettershopAddPricing[[#Headers],[≥ 1]:[≥ 150,000]],0))),2)</f>
        <v>57.81</v>
      </c>
      <c r="I92" s="158">
        <f>ROUND($D92*(1-INDEX(discounts[#All],MATCH($O92,discounts[[#All],[Discount Level]],0),MATCH(lettershopAddPricing[[#Headers],[≥ 25,000]],lettershopAddPricing[[#Headers],[≥ 1]:[≥ 150,000]],0))),2)</f>
        <v>54.2</v>
      </c>
      <c r="J92" s="158">
        <f>ROUND($D92*(1-INDEX(discounts[#All],MATCH($O92,discounts[[#All],[Discount Level]],0),MATCH(lettershopAddPricing[[#Headers],[≥ 35,000]],lettershopAddPricing[[#Headers],[≥ 1]:[≥ 150,000]],0))),2)</f>
        <v>50.58</v>
      </c>
      <c r="K92" s="158">
        <f>ROUND($D92*(1-INDEX(discounts[#All],MATCH($O92,discounts[[#All],[Discount Level]],0),MATCH(lettershopAddPricing[[#Headers],[≥ 50,000]],lettershopAddPricing[[#Headers],[≥ 1]:[≥ 150,000]],0))),2)</f>
        <v>46.97</v>
      </c>
      <c r="L92" s="158">
        <f>ROUND($D92*(1-INDEX(discounts[#All],MATCH($O92,discounts[[#All],[Discount Level]],0),MATCH(lettershopAddPricing[[#Headers],[≥ 75,000]],lettershopAddPricing[[#Headers],[≥ 1]:[≥ 150,000]],0))),2)</f>
        <v>43.36</v>
      </c>
      <c r="M92" s="158">
        <f>ROUND($D92*(1-INDEX(discounts[#All],MATCH($O92,discounts[[#All],[Discount Level]],0),MATCH(lettershopAddPricing[[#Headers],[≥ 100,000]],lettershopAddPricing[[#Headers],[≥ 1]:[≥ 150,000]],0))),2)</f>
        <v>41.55</v>
      </c>
      <c r="N92" s="158">
        <f>ROUND($D92*(1-INDEX(discounts[#All],MATCH($O92,discounts[[#All],[Discount Level]],0),MATCH(lettershopAddPricing[[#Headers],[≥ 150,000]],lettershopAddPricing[[#Headers],[≥ 1]:[≥ 150,000]],0))),2)</f>
        <v>39.74</v>
      </c>
      <c r="O92" s="179" t="s">
        <v>425</v>
      </c>
    </row>
    <row r="93" spans="1:15" ht="27" customHeight="1" x14ac:dyDescent="0.25">
      <c r="A93" s="144" t="s">
        <v>437</v>
      </c>
      <c r="B93" s="176" t="s">
        <v>442</v>
      </c>
      <c r="C93" s="177">
        <v>50</v>
      </c>
      <c r="D93" s="178">
        <v>73.290000000000006</v>
      </c>
      <c r="E93" s="158">
        <f>ROUND($D93*(1-INDEX(discounts[#All],MATCH($O93,discounts[[#All],[Discount Level]],0),MATCH(lettershopAddPricing[[#Headers],[≥ 5,000]],lettershopAddPricing[[#Headers],[≥ 1]:[≥ 150,000]],0))),2)</f>
        <v>67.790000000000006</v>
      </c>
      <c r="F93" s="158">
        <f>ROUND($D93*(1-INDEX(discounts[#All],MATCH($O93,discounts[[#All],[Discount Level]],0),MATCH(lettershopAddPricing[[#Headers],[≥ 10,000]],lettershopAddPricing[[#Headers],[≥ 1]:[≥ 150,000]],0))),2)</f>
        <v>64.13</v>
      </c>
      <c r="G93" s="158">
        <f>ROUND($D93*(1-INDEX(discounts[#All],MATCH($O93,discounts[[#All],[Discount Level]],0),MATCH(lettershopAddPricing[[#Headers],[≥ 15,000]],lettershopAddPricing[[#Headers],[≥ 1]:[≥ 150,000]],0))),2)</f>
        <v>60.46</v>
      </c>
      <c r="H93" s="158">
        <f>ROUND($D93*(1-INDEX(discounts[#All],MATCH($O93,discounts[[#All],[Discount Level]],0),MATCH(lettershopAddPricing[[#Headers],[≥ 20,000]],lettershopAddPricing[[#Headers],[≥ 1]:[≥ 150,000]],0))),2)</f>
        <v>58.63</v>
      </c>
      <c r="I93" s="158">
        <f>ROUND($D93*(1-INDEX(discounts[#All],MATCH($O93,discounts[[#All],[Discount Level]],0),MATCH(lettershopAddPricing[[#Headers],[≥ 25,000]],lettershopAddPricing[[#Headers],[≥ 1]:[≥ 150,000]],0))),2)</f>
        <v>54.97</v>
      </c>
      <c r="J93" s="158">
        <f>ROUND($D93*(1-INDEX(discounts[#All],MATCH($O93,discounts[[#All],[Discount Level]],0),MATCH(lettershopAddPricing[[#Headers],[≥ 35,000]],lettershopAddPricing[[#Headers],[≥ 1]:[≥ 150,000]],0))),2)</f>
        <v>51.3</v>
      </c>
      <c r="K93" s="158">
        <f>ROUND($D93*(1-INDEX(discounts[#All],MATCH($O93,discounts[[#All],[Discount Level]],0),MATCH(lettershopAddPricing[[#Headers],[≥ 50,000]],lettershopAddPricing[[#Headers],[≥ 1]:[≥ 150,000]],0))),2)</f>
        <v>47.64</v>
      </c>
      <c r="L93" s="158">
        <f>ROUND($D93*(1-INDEX(discounts[#All],MATCH($O93,discounts[[#All],[Discount Level]],0),MATCH(lettershopAddPricing[[#Headers],[≥ 75,000]],lettershopAddPricing[[#Headers],[≥ 1]:[≥ 150,000]],0))),2)</f>
        <v>43.97</v>
      </c>
      <c r="M93" s="158">
        <f>ROUND($D93*(1-INDEX(discounts[#All],MATCH($O93,discounts[[#All],[Discount Level]],0),MATCH(lettershopAddPricing[[#Headers],[≥ 100,000]],lettershopAddPricing[[#Headers],[≥ 1]:[≥ 150,000]],0))),2)</f>
        <v>42.14</v>
      </c>
      <c r="N93" s="158">
        <f>ROUND($D93*(1-INDEX(discounts[#All],MATCH($O93,discounts[[#All],[Discount Level]],0),MATCH(lettershopAddPricing[[#Headers],[≥ 150,000]],lettershopAddPricing[[#Headers],[≥ 1]:[≥ 150,000]],0))),2)</f>
        <v>40.31</v>
      </c>
      <c r="O93" s="179" t="s">
        <v>425</v>
      </c>
    </row>
    <row r="94" spans="1:15" ht="27" customHeight="1" x14ac:dyDescent="0.25">
      <c r="A94" s="144" t="s">
        <v>437</v>
      </c>
      <c r="B94" s="176" t="s">
        <v>443</v>
      </c>
      <c r="C94" s="177">
        <v>45</v>
      </c>
      <c r="D94" s="178">
        <v>62.53</v>
      </c>
      <c r="E94" s="158">
        <f>ROUND($D94*(1-INDEX(discounts[#All],MATCH($O94,discounts[[#All],[Discount Level]],0),MATCH(lettershopAddPricing[[#Headers],[≥ 5,000]],lettershopAddPricing[[#Headers],[≥ 1]:[≥ 150,000]],0))),2)</f>
        <v>57.84</v>
      </c>
      <c r="F94" s="158">
        <f>ROUND($D94*(1-INDEX(discounts[#All],MATCH($O94,discounts[[#All],[Discount Level]],0),MATCH(lettershopAddPricing[[#Headers],[≥ 10,000]],lettershopAddPricing[[#Headers],[≥ 1]:[≥ 150,000]],0))),2)</f>
        <v>54.71</v>
      </c>
      <c r="G94" s="158">
        <f>ROUND($D94*(1-INDEX(discounts[#All],MATCH($O94,discounts[[#All],[Discount Level]],0),MATCH(lettershopAddPricing[[#Headers],[≥ 15,000]],lettershopAddPricing[[#Headers],[≥ 1]:[≥ 150,000]],0))),2)</f>
        <v>51.59</v>
      </c>
      <c r="H94" s="158">
        <f>ROUND($D94*(1-INDEX(discounts[#All],MATCH($O94,discounts[[#All],[Discount Level]],0),MATCH(lettershopAddPricing[[#Headers],[≥ 20,000]],lettershopAddPricing[[#Headers],[≥ 1]:[≥ 150,000]],0))),2)</f>
        <v>50.02</v>
      </c>
      <c r="I94" s="158">
        <f>ROUND($D94*(1-INDEX(discounts[#All],MATCH($O94,discounts[[#All],[Discount Level]],0),MATCH(lettershopAddPricing[[#Headers],[≥ 25,000]],lettershopAddPricing[[#Headers],[≥ 1]:[≥ 150,000]],0))),2)</f>
        <v>46.9</v>
      </c>
      <c r="J94" s="158">
        <f>ROUND($D94*(1-INDEX(discounts[#All],MATCH($O94,discounts[[#All],[Discount Level]],0),MATCH(lettershopAddPricing[[#Headers],[≥ 35,000]],lettershopAddPricing[[#Headers],[≥ 1]:[≥ 150,000]],0))),2)</f>
        <v>43.77</v>
      </c>
      <c r="K94" s="158">
        <f>ROUND($D94*(1-INDEX(discounts[#All],MATCH($O94,discounts[[#All],[Discount Level]],0),MATCH(lettershopAddPricing[[#Headers],[≥ 50,000]],lettershopAddPricing[[#Headers],[≥ 1]:[≥ 150,000]],0))),2)</f>
        <v>40.64</v>
      </c>
      <c r="L94" s="158">
        <f>ROUND($D94*(1-INDEX(discounts[#All],MATCH($O94,discounts[[#All],[Discount Level]],0),MATCH(lettershopAddPricing[[#Headers],[≥ 75,000]],lettershopAddPricing[[#Headers],[≥ 1]:[≥ 150,000]],0))),2)</f>
        <v>37.520000000000003</v>
      </c>
      <c r="M94" s="158">
        <f>ROUND($D94*(1-INDEX(discounts[#All],MATCH($O94,discounts[[#All],[Discount Level]],0),MATCH(lettershopAddPricing[[#Headers],[≥ 100,000]],lettershopAddPricing[[#Headers],[≥ 1]:[≥ 150,000]],0))),2)</f>
        <v>35.950000000000003</v>
      </c>
      <c r="N94" s="158">
        <f>ROUND($D94*(1-INDEX(discounts[#All],MATCH($O94,discounts[[#All],[Discount Level]],0),MATCH(lettershopAddPricing[[#Headers],[≥ 150,000]],lettershopAddPricing[[#Headers],[≥ 1]:[≥ 150,000]],0))),2)</f>
        <v>34.39</v>
      </c>
      <c r="O94" s="179" t="s">
        <v>425</v>
      </c>
    </row>
    <row r="95" spans="1:15" ht="27" customHeight="1" x14ac:dyDescent="0.25">
      <c r="A95" s="144" t="s">
        <v>437</v>
      </c>
      <c r="B95" s="176" t="s">
        <v>444</v>
      </c>
      <c r="C95" s="177">
        <v>50</v>
      </c>
      <c r="D95" s="178">
        <v>83.54</v>
      </c>
      <c r="E95" s="158">
        <f>ROUND($D95*(1-INDEX(discounts[#All],MATCH($O95,discounts[[#All],[Discount Level]],0),MATCH(lettershopAddPricing[[#Headers],[≥ 5,000]],lettershopAddPricing[[#Headers],[≥ 1]:[≥ 150,000]],0))),2)</f>
        <v>77.27</v>
      </c>
      <c r="F95" s="158">
        <f>ROUND($D95*(1-INDEX(discounts[#All],MATCH($O95,discounts[[#All],[Discount Level]],0),MATCH(lettershopAddPricing[[#Headers],[≥ 10,000]],lettershopAddPricing[[#Headers],[≥ 1]:[≥ 150,000]],0))),2)</f>
        <v>73.099999999999994</v>
      </c>
      <c r="G95" s="158">
        <f>ROUND($D95*(1-INDEX(discounts[#All],MATCH($O95,discounts[[#All],[Discount Level]],0),MATCH(lettershopAddPricing[[#Headers],[≥ 15,000]],lettershopAddPricing[[#Headers],[≥ 1]:[≥ 150,000]],0))),2)</f>
        <v>68.92</v>
      </c>
      <c r="H95" s="158">
        <f>ROUND($D95*(1-INDEX(discounts[#All],MATCH($O95,discounts[[#All],[Discount Level]],0),MATCH(lettershopAddPricing[[#Headers],[≥ 20,000]],lettershopAddPricing[[#Headers],[≥ 1]:[≥ 150,000]],0))),2)</f>
        <v>66.83</v>
      </c>
      <c r="I95" s="158">
        <f>ROUND($D95*(1-INDEX(discounts[#All],MATCH($O95,discounts[[#All],[Discount Level]],0),MATCH(lettershopAddPricing[[#Headers],[≥ 25,000]],lettershopAddPricing[[#Headers],[≥ 1]:[≥ 150,000]],0))),2)</f>
        <v>62.66</v>
      </c>
      <c r="J95" s="158">
        <f>ROUND($D95*(1-INDEX(discounts[#All],MATCH($O95,discounts[[#All],[Discount Level]],0),MATCH(lettershopAddPricing[[#Headers],[≥ 35,000]],lettershopAddPricing[[#Headers],[≥ 1]:[≥ 150,000]],0))),2)</f>
        <v>58.48</v>
      </c>
      <c r="K95" s="158">
        <f>ROUND($D95*(1-INDEX(discounts[#All],MATCH($O95,discounts[[#All],[Discount Level]],0),MATCH(lettershopAddPricing[[#Headers],[≥ 50,000]],lettershopAddPricing[[#Headers],[≥ 1]:[≥ 150,000]],0))),2)</f>
        <v>54.3</v>
      </c>
      <c r="L95" s="158">
        <f>ROUND($D95*(1-INDEX(discounts[#All],MATCH($O95,discounts[[#All],[Discount Level]],0),MATCH(lettershopAddPricing[[#Headers],[≥ 75,000]],lettershopAddPricing[[#Headers],[≥ 1]:[≥ 150,000]],0))),2)</f>
        <v>50.12</v>
      </c>
      <c r="M95" s="158">
        <f>ROUND($D95*(1-INDEX(discounts[#All],MATCH($O95,discounts[[#All],[Discount Level]],0),MATCH(lettershopAddPricing[[#Headers],[≥ 100,000]],lettershopAddPricing[[#Headers],[≥ 1]:[≥ 150,000]],0))),2)</f>
        <v>48.04</v>
      </c>
      <c r="N95" s="158">
        <f>ROUND($D95*(1-INDEX(discounts[#All],MATCH($O95,discounts[[#All],[Discount Level]],0),MATCH(lettershopAddPricing[[#Headers],[≥ 150,000]],lettershopAddPricing[[#Headers],[≥ 1]:[≥ 150,000]],0))),2)</f>
        <v>45.95</v>
      </c>
      <c r="O95" s="179" t="s">
        <v>425</v>
      </c>
    </row>
    <row r="96" spans="1:15" ht="27" customHeight="1" x14ac:dyDescent="0.25">
      <c r="A96" s="144" t="s">
        <v>437</v>
      </c>
      <c r="B96" s="176" t="s">
        <v>445</v>
      </c>
      <c r="C96" s="177">
        <v>50</v>
      </c>
      <c r="D96" s="178">
        <v>72.260000000000005</v>
      </c>
      <c r="E96" s="158">
        <f>ROUND($D96*(1-INDEX(discounts[#All],MATCH($O96,discounts[[#All],[Discount Level]],0),MATCH(lettershopAddPricing[[#Headers],[≥ 5,000]],lettershopAddPricing[[#Headers],[≥ 1]:[≥ 150,000]],0))),2)</f>
        <v>66.84</v>
      </c>
      <c r="F96" s="158">
        <f>ROUND($D96*(1-INDEX(discounts[#All],MATCH($O96,discounts[[#All],[Discount Level]],0),MATCH(lettershopAddPricing[[#Headers],[≥ 10,000]],lettershopAddPricing[[#Headers],[≥ 1]:[≥ 150,000]],0))),2)</f>
        <v>63.23</v>
      </c>
      <c r="G96" s="158">
        <f>ROUND($D96*(1-INDEX(discounts[#All],MATCH($O96,discounts[[#All],[Discount Level]],0),MATCH(lettershopAddPricing[[#Headers],[≥ 15,000]],lettershopAddPricing[[#Headers],[≥ 1]:[≥ 150,000]],0))),2)</f>
        <v>59.61</v>
      </c>
      <c r="H96" s="158">
        <f>ROUND($D96*(1-INDEX(discounts[#All],MATCH($O96,discounts[[#All],[Discount Level]],0),MATCH(lettershopAddPricing[[#Headers],[≥ 20,000]],lettershopAddPricing[[#Headers],[≥ 1]:[≥ 150,000]],0))),2)</f>
        <v>57.81</v>
      </c>
      <c r="I96" s="158">
        <f>ROUND($D96*(1-INDEX(discounts[#All],MATCH($O96,discounts[[#All],[Discount Level]],0),MATCH(lettershopAddPricing[[#Headers],[≥ 25,000]],lettershopAddPricing[[#Headers],[≥ 1]:[≥ 150,000]],0))),2)</f>
        <v>54.2</v>
      </c>
      <c r="J96" s="158">
        <f>ROUND($D96*(1-INDEX(discounts[#All],MATCH($O96,discounts[[#All],[Discount Level]],0),MATCH(lettershopAddPricing[[#Headers],[≥ 35,000]],lettershopAddPricing[[#Headers],[≥ 1]:[≥ 150,000]],0))),2)</f>
        <v>50.58</v>
      </c>
      <c r="K96" s="158">
        <f>ROUND($D96*(1-INDEX(discounts[#All],MATCH($O96,discounts[[#All],[Discount Level]],0),MATCH(lettershopAddPricing[[#Headers],[≥ 50,000]],lettershopAddPricing[[#Headers],[≥ 1]:[≥ 150,000]],0))),2)</f>
        <v>46.97</v>
      </c>
      <c r="L96" s="158">
        <f>ROUND($D96*(1-INDEX(discounts[#All],MATCH($O96,discounts[[#All],[Discount Level]],0),MATCH(lettershopAddPricing[[#Headers],[≥ 75,000]],lettershopAddPricing[[#Headers],[≥ 1]:[≥ 150,000]],0))),2)</f>
        <v>43.36</v>
      </c>
      <c r="M96" s="158">
        <f>ROUND($D96*(1-INDEX(discounts[#All],MATCH($O96,discounts[[#All],[Discount Level]],0),MATCH(lettershopAddPricing[[#Headers],[≥ 100,000]],lettershopAddPricing[[#Headers],[≥ 1]:[≥ 150,000]],0))),2)</f>
        <v>41.55</v>
      </c>
      <c r="N96" s="158">
        <f>ROUND($D96*(1-INDEX(discounts[#All],MATCH($O96,discounts[[#All],[Discount Level]],0),MATCH(lettershopAddPricing[[#Headers],[≥ 150,000]],lettershopAddPricing[[#Headers],[≥ 1]:[≥ 150,000]],0))),2)</f>
        <v>39.74</v>
      </c>
      <c r="O96" s="179" t="s">
        <v>425</v>
      </c>
    </row>
    <row r="97" spans="1:15" ht="27" customHeight="1" x14ac:dyDescent="0.25">
      <c r="A97" s="144" t="s">
        <v>437</v>
      </c>
      <c r="B97" s="176" t="s">
        <v>446</v>
      </c>
      <c r="C97" s="177">
        <v>50</v>
      </c>
      <c r="D97" s="178">
        <v>73.290000000000006</v>
      </c>
      <c r="E97" s="158">
        <f>ROUND($D97*(1-INDEX(discounts[#All],MATCH($O97,discounts[[#All],[Discount Level]],0),MATCH(lettershopAddPricing[[#Headers],[≥ 5,000]],lettershopAddPricing[[#Headers],[≥ 1]:[≥ 150,000]],0))),2)</f>
        <v>67.790000000000006</v>
      </c>
      <c r="F97" s="158">
        <f>ROUND($D97*(1-INDEX(discounts[#All],MATCH($O97,discounts[[#All],[Discount Level]],0),MATCH(lettershopAddPricing[[#Headers],[≥ 10,000]],lettershopAddPricing[[#Headers],[≥ 1]:[≥ 150,000]],0))),2)</f>
        <v>64.13</v>
      </c>
      <c r="G97" s="158">
        <f>ROUND($D97*(1-INDEX(discounts[#All],MATCH($O97,discounts[[#All],[Discount Level]],0),MATCH(lettershopAddPricing[[#Headers],[≥ 15,000]],lettershopAddPricing[[#Headers],[≥ 1]:[≥ 150,000]],0))),2)</f>
        <v>60.46</v>
      </c>
      <c r="H97" s="158">
        <f>ROUND($D97*(1-INDEX(discounts[#All],MATCH($O97,discounts[[#All],[Discount Level]],0),MATCH(lettershopAddPricing[[#Headers],[≥ 20,000]],lettershopAddPricing[[#Headers],[≥ 1]:[≥ 150,000]],0))),2)</f>
        <v>58.63</v>
      </c>
      <c r="I97" s="158">
        <f>ROUND($D97*(1-INDEX(discounts[#All],MATCH($O97,discounts[[#All],[Discount Level]],0),MATCH(lettershopAddPricing[[#Headers],[≥ 25,000]],lettershopAddPricing[[#Headers],[≥ 1]:[≥ 150,000]],0))),2)</f>
        <v>54.97</v>
      </c>
      <c r="J97" s="158">
        <f>ROUND($D97*(1-INDEX(discounts[#All],MATCH($O97,discounts[[#All],[Discount Level]],0),MATCH(lettershopAddPricing[[#Headers],[≥ 35,000]],lettershopAddPricing[[#Headers],[≥ 1]:[≥ 150,000]],0))),2)</f>
        <v>51.3</v>
      </c>
      <c r="K97" s="158">
        <f>ROUND($D97*(1-INDEX(discounts[#All],MATCH($O97,discounts[[#All],[Discount Level]],0),MATCH(lettershopAddPricing[[#Headers],[≥ 50,000]],lettershopAddPricing[[#Headers],[≥ 1]:[≥ 150,000]],0))),2)</f>
        <v>47.64</v>
      </c>
      <c r="L97" s="158">
        <f>ROUND($D97*(1-INDEX(discounts[#All],MATCH($O97,discounts[[#All],[Discount Level]],0),MATCH(lettershopAddPricing[[#Headers],[≥ 75,000]],lettershopAddPricing[[#Headers],[≥ 1]:[≥ 150,000]],0))),2)</f>
        <v>43.97</v>
      </c>
      <c r="M97" s="158">
        <f>ROUND($D97*(1-INDEX(discounts[#All],MATCH($O97,discounts[[#All],[Discount Level]],0),MATCH(lettershopAddPricing[[#Headers],[≥ 100,000]],lettershopAddPricing[[#Headers],[≥ 1]:[≥ 150,000]],0))),2)</f>
        <v>42.14</v>
      </c>
      <c r="N97" s="158">
        <f>ROUND($D97*(1-INDEX(discounts[#All],MATCH($O97,discounts[[#All],[Discount Level]],0),MATCH(lettershopAddPricing[[#Headers],[≥ 150,000]],lettershopAddPricing[[#Headers],[≥ 1]:[≥ 150,000]],0))),2)</f>
        <v>40.31</v>
      </c>
      <c r="O97" s="179" t="s">
        <v>425</v>
      </c>
    </row>
    <row r="98" spans="1:15" ht="27" customHeight="1" x14ac:dyDescent="0.25">
      <c r="A98" s="144" t="s">
        <v>437</v>
      </c>
      <c r="B98" s="176" t="s">
        <v>447</v>
      </c>
      <c r="C98" s="177">
        <v>50</v>
      </c>
      <c r="D98" s="178">
        <v>71.239999999999995</v>
      </c>
      <c r="E98" s="158">
        <f>ROUND($D98*(1-INDEX(discounts[#All],MATCH($O98,discounts[[#All],[Discount Level]],0),MATCH(lettershopAddPricing[[#Headers],[≥ 5,000]],lettershopAddPricing[[#Headers],[≥ 1]:[≥ 150,000]],0))),2)</f>
        <v>65.900000000000006</v>
      </c>
      <c r="F98" s="158">
        <f>ROUND($D98*(1-INDEX(discounts[#All],MATCH($O98,discounts[[#All],[Discount Level]],0),MATCH(lettershopAddPricing[[#Headers],[≥ 10,000]],lettershopAddPricing[[#Headers],[≥ 1]:[≥ 150,000]],0))),2)</f>
        <v>62.34</v>
      </c>
      <c r="G98" s="158">
        <f>ROUND($D98*(1-INDEX(discounts[#All],MATCH($O98,discounts[[#All],[Discount Level]],0),MATCH(lettershopAddPricing[[#Headers],[≥ 15,000]],lettershopAddPricing[[#Headers],[≥ 1]:[≥ 150,000]],0))),2)</f>
        <v>58.77</v>
      </c>
      <c r="H98" s="158">
        <f>ROUND($D98*(1-INDEX(discounts[#All],MATCH($O98,discounts[[#All],[Discount Level]],0),MATCH(lettershopAddPricing[[#Headers],[≥ 20,000]],lettershopAddPricing[[#Headers],[≥ 1]:[≥ 150,000]],0))),2)</f>
        <v>56.99</v>
      </c>
      <c r="I98" s="158">
        <f>ROUND($D98*(1-INDEX(discounts[#All],MATCH($O98,discounts[[#All],[Discount Level]],0),MATCH(lettershopAddPricing[[#Headers],[≥ 25,000]],lettershopAddPricing[[#Headers],[≥ 1]:[≥ 150,000]],0))),2)</f>
        <v>53.43</v>
      </c>
      <c r="J98" s="158">
        <f>ROUND($D98*(1-INDEX(discounts[#All],MATCH($O98,discounts[[#All],[Discount Level]],0),MATCH(lettershopAddPricing[[#Headers],[≥ 35,000]],lettershopAddPricing[[#Headers],[≥ 1]:[≥ 150,000]],0))),2)</f>
        <v>49.87</v>
      </c>
      <c r="K98" s="158">
        <f>ROUND($D98*(1-INDEX(discounts[#All],MATCH($O98,discounts[[#All],[Discount Level]],0),MATCH(lettershopAddPricing[[#Headers],[≥ 50,000]],lettershopAddPricing[[#Headers],[≥ 1]:[≥ 150,000]],0))),2)</f>
        <v>46.31</v>
      </c>
      <c r="L98" s="158">
        <f>ROUND($D98*(1-INDEX(discounts[#All],MATCH($O98,discounts[[#All],[Discount Level]],0),MATCH(lettershopAddPricing[[#Headers],[≥ 75,000]],lettershopAddPricing[[#Headers],[≥ 1]:[≥ 150,000]],0))),2)</f>
        <v>42.74</v>
      </c>
      <c r="M98" s="158">
        <f>ROUND($D98*(1-INDEX(discounts[#All],MATCH($O98,discounts[[#All],[Discount Level]],0),MATCH(lettershopAddPricing[[#Headers],[≥ 100,000]],lettershopAddPricing[[#Headers],[≥ 1]:[≥ 150,000]],0))),2)</f>
        <v>40.96</v>
      </c>
      <c r="N98" s="158">
        <f>ROUND($D98*(1-INDEX(discounts[#All],MATCH($O98,discounts[[#All],[Discount Level]],0),MATCH(lettershopAddPricing[[#Headers],[≥ 150,000]],lettershopAddPricing[[#Headers],[≥ 1]:[≥ 150,000]],0))),2)</f>
        <v>39.18</v>
      </c>
      <c r="O98" s="179" t="s">
        <v>425</v>
      </c>
    </row>
    <row r="99" spans="1:15" ht="27" customHeight="1" x14ac:dyDescent="0.25">
      <c r="A99" s="144" t="s">
        <v>437</v>
      </c>
      <c r="B99" s="176" t="s">
        <v>448</v>
      </c>
      <c r="C99" s="177">
        <v>50</v>
      </c>
      <c r="D99" s="178">
        <v>71.239999999999995</v>
      </c>
      <c r="E99" s="158">
        <f>ROUND($D99*(1-INDEX(discounts[#All],MATCH($O99,discounts[[#All],[Discount Level]],0),MATCH(lettershopAddPricing[[#Headers],[≥ 5,000]],lettershopAddPricing[[#Headers],[≥ 1]:[≥ 150,000]],0))),2)</f>
        <v>65.900000000000006</v>
      </c>
      <c r="F99" s="158">
        <f>ROUND($D99*(1-INDEX(discounts[#All],MATCH($O99,discounts[[#All],[Discount Level]],0),MATCH(lettershopAddPricing[[#Headers],[≥ 10,000]],lettershopAddPricing[[#Headers],[≥ 1]:[≥ 150,000]],0))),2)</f>
        <v>62.34</v>
      </c>
      <c r="G99" s="158">
        <f>ROUND($D99*(1-INDEX(discounts[#All],MATCH($O99,discounts[[#All],[Discount Level]],0),MATCH(lettershopAddPricing[[#Headers],[≥ 15,000]],lettershopAddPricing[[#Headers],[≥ 1]:[≥ 150,000]],0))),2)</f>
        <v>58.77</v>
      </c>
      <c r="H99" s="158">
        <f>ROUND($D99*(1-INDEX(discounts[#All],MATCH($O99,discounts[[#All],[Discount Level]],0),MATCH(lettershopAddPricing[[#Headers],[≥ 20,000]],lettershopAddPricing[[#Headers],[≥ 1]:[≥ 150,000]],0))),2)</f>
        <v>56.99</v>
      </c>
      <c r="I99" s="158">
        <f>ROUND($D99*(1-INDEX(discounts[#All],MATCH($O99,discounts[[#All],[Discount Level]],0),MATCH(lettershopAddPricing[[#Headers],[≥ 25,000]],lettershopAddPricing[[#Headers],[≥ 1]:[≥ 150,000]],0))),2)</f>
        <v>53.43</v>
      </c>
      <c r="J99" s="158">
        <f>ROUND($D99*(1-INDEX(discounts[#All],MATCH($O99,discounts[[#All],[Discount Level]],0),MATCH(lettershopAddPricing[[#Headers],[≥ 35,000]],lettershopAddPricing[[#Headers],[≥ 1]:[≥ 150,000]],0))),2)</f>
        <v>49.87</v>
      </c>
      <c r="K99" s="158">
        <f>ROUND($D99*(1-INDEX(discounts[#All],MATCH($O99,discounts[[#All],[Discount Level]],0),MATCH(lettershopAddPricing[[#Headers],[≥ 50,000]],lettershopAddPricing[[#Headers],[≥ 1]:[≥ 150,000]],0))),2)</f>
        <v>46.31</v>
      </c>
      <c r="L99" s="158">
        <f>ROUND($D99*(1-INDEX(discounts[#All],MATCH($O99,discounts[[#All],[Discount Level]],0),MATCH(lettershopAddPricing[[#Headers],[≥ 75,000]],lettershopAddPricing[[#Headers],[≥ 1]:[≥ 150,000]],0))),2)</f>
        <v>42.74</v>
      </c>
      <c r="M99" s="158">
        <f>ROUND($D99*(1-INDEX(discounts[#All],MATCH($O99,discounts[[#All],[Discount Level]],0),MATCH(lettershopAddPricing[[#Headers],[≥ 100,000]],lettershopAddPricing[[#Headers],[≥ 1]:[≥ 150,000]],0))),2)</f>
        <v>40.96</v>
      </c>
      <c r="N99" s="158">
        <f>ROUND($D99*(1-INDEX(discounts[#All],MATCH($O99,discounts[[#All],[Discount Level]],0),MATCH(lettershopAddPricing[[#Headers],[≥ 150,000]],lettershopAddPricing[[#Headers],[≥ 1]:[≥ 150,000]],0))),2)</f>
        <v>39.18</v>
      </c>
      <c r="O99" s="179" t="s">
        <v>425</v>
      </c>
    </row>
    <row r="100" spans="1:15" ht="27" customHeight="1" x14ac:dyDescent="0.25">
      <c r="A100" s="144" t="s">
        <v>437</v>
      </c>
      <c r="B100" s="176" t="s">
        <v>449</v>
      </c>
      <c r="C100" s="177">
        <v>50</v>
      </c>
      <c r="D100" s="178">
        <v>76.36</v>
      </c>
      <c r="E100" s="158">
        <f>ROUND($D100*(1-INDEX(discounts[#All],MATCH($O100,discounts[[#All],[Discount Level]],0),MATCH(lettershopAddPricing[[#Headers],[≥ 5,000]],lettershopAddPricing[[#Headers],[≥ 1]:[≥ 150,000]],0))),2)</f>
        <v>70.63</v>
      </c>
      <c r="F100" s="158">
        <f>ROUND($D100*(1-INDEX(discounts[#All],MATCH($O100,discounts[[#All],[Discount Level]],0),MATCH(lettershopAddPricing[[#Headers],[≥ 10,000]],lettershopAddPricing[[#Headers],[≥ 1]:[≥ 150,000]],0))),2)</f>
        <v>66.819999999999993</v>
      </c>
      <c r="G100" s="158">
        <f>ROUND($D100*(1-INDEX(discounts[#All],MATCH($O100,discounts[[#All],[Discount Level]],0),MATCH(lettershopAddPricing[[#Headers],[≥ 15,000]],lettershopAddPricing[[#Headers],[≥ 1]:[≥ 150,000]],0))),2)</f>
        <v>63</v>
      </c>
      <c r="H100" s="158">
        <f>ROUND($D100*(1-INDEX(discounts[#All],MATCH($O100,discounts[[#All],[Discount Level]],0),MATCH(lettershopAddPricing[[#Headers],[≥ 20,000]],lettershopAddPricing[[#Headers],[≥ 1]:[≥ 150,000]],0))),2)</f>
        <v>61.09</v>
      </c>
      <c r="I100" s="158">
        <f>ROUND($D100*(1-INDEX(discounts[#All],MATCH($O100,discounts[[#All],[Discount Level]],0),MATCH(lettershopAddPricing[[#Headers],[≥ 25,000]],lettershopAddPricing[[#Headers],[≥ 1]:[≥ 150,000]],0))),2)</f>
        <v>57.27</v>
      </c>
      <c r="J100" s="158">
        <f>ROUND($D100*(1-INDEX(discounts[#All],MATCH($O100,discounts[[#All],[Discount Level]],0),MATCH(lettershopAddPricing[[#Headers],[≥ 35,000]],lettershopAddPricing[[#Headers],[≥ 1]:[≥ 150,000]],0))),2)</f>
        <v>53.45</v>
      </c>
      <c r="K100" s="158">
        <f>ROUND($D100*(1-INDEX(discounts[#All],MATCH($O100,discounts[[#All],[Discount Level]],0),MATCH(lettershopAddPricing[[#Headers],[≥ 50,000]],lettershopAddPricing[[#Headers],[≥ 1]:[≥ 150,000]],0))),2)</f>
        <v>49.63</v>
      </c>
      <c r="L100" s="158">
        <f>ROUND($D100*(1-INDEX(discounts[#All],MATCH($O100,discounts[[#All],[Discount Level]],0),MATCH(lettershopAddPricing[[#Headers],[≥ 75,000]],lettershopAddPricing[[#Headers],[≥ 1]:[≥ 150,000]],0))),2)</f>
        <v>45.82</v>
      </c>
      <c r="M100" s="158">
        <f>ROUND($D100*(1-INDEX(discounts[#All],MATCH($O100,discounts[[#All],[Discount Level]],0),MATCH(lettershopAddPricing[[#Headers],[≥ 100,000]],lettershopAddPricing[[#Headers],[≥ 1]:[≥ 150,000]],0))),2)</f>
        <v>43.91</v>
      </c>
      <c r="N100" s="158">
        <f>ROUND($D100*(1-INDEX(discounts[#All],MATCH($O100,discounts[[#All],[Discount Level]],0),MATCH(lettershopAddPricing[[#Headers],[≥ 150,000]],lettershopAddPricing[[#Headers],[≥ 1]:[≥ 150,000]],0))),2)</f>
        <v>42</v>
      </c>
      <c r="O100" s="179" t="s">
        <v>425</v>
      </c>
    </row>
    <row r="101" spans="1:15" ht="27" customHeight="1" x14ac:dyDescent="0.25">
      <c r="A101" s="144" t="s">
        <v>450</v>
      </c>
      <c r="B101" s="176" t="s">
        <v>451</v>
      </c>
      <c r="C101" s="177">
        <v>50</v>
      </c>
      <c r="D101" s="178">
        <v>85.59</v>
      </c>
      <c r="E101" s="158">
        <f>ROUND($D101*(1-INDEX(discounts[#All],MATCH($O101,discounts[[#All],[Discount Level]],0),MATCH(lettershopAddPricing[[#Headers],[≥ 5,000]],lettershopAddPricing[[#Headers],[≥ 1]:[≥ 150,000]],0))),2)</f>
        <v>79.17</v>
      </c>
      <c r="F101" s="158">
        <f>ROUND($D101*(1-INDEX(discounts[#All],MATCH($O101,discounts[[#All],[Discount Level]],0),MATCH(lettershopAddPricing[[#Headers],[≥ 10,000]],lettershopAddPricing[[#Headers],[≥ 1]:[≥ 150,000]],0))),2)</f>
        <v>74.89</v>
      </c>
      <c r="G101" s="158">
        <f>ROUND($D101*(1-INDEX(discounts[#All],MATCH($O101,discounts[[#All],[Discount Level]],0),MATCH(lettershopAddPricing[[#Headers],[≥ 15,000]],lettershopAddPricing[[#Headers],[≥ 1]:[≥ 150,000]],0))),2)</f>
        <v>70.61</v>
      </c>
      <c r="H101" s="158">
        <f>ROUND($D101*(1-INDEX(discounts[#All],MATCH($O101,discounts[[#All],[Discount Level]],0),MATCH(lettershopAddPricing[[#Headers],[≥ 20,000]],lettershopAddPricing[[#Headers],[≥ 1]:[≥ 150,000]],0))),2)</f>
        <v>68.47</v>
      </c>
      <c r="I101" s="158">
        <f>ROUND($D101*(1-INDEX(discounts[#All],MATCH($O101,discounts[[#All],[Discount Level]],0),MATCH(lettershopAddPricing[[#Headers],[≥ 25,000]],lettershopAddPricing[[#Headers],[≥ 1]:[≥ 150,000]],0))),2)</f>
        <v>64.19</v>
      </c>
      <c r="J101" s="158">
        <f>ROUND($D101*(1-INDEX(discounts[#All],MATCH($O101,discounts[[#All],[Discount Level]],0),MATCH(lettershopAddPricing[[#Headers],[≥ 35,000]],lettershopAddPricing[[#Headers],[≥ 1]:[≥ 150,000]],0))),2)</f>
        <v>59.91</v>
      </c>
      <c r="K101" s="158">
        <f>ROUND($D101*(1-INDEX(discounts[#All],MATCH($O101,discounts[[#All],[Discount Level]],0),MATCH(lettershopAddPricing[[#Headers],[≥ 50,000]],lettershopAddPricing[[#Headers],[≥ 1]:[≥ 150,000]],0))),2)</f>
        <v>55.63</v>
      </c>
      <c r="L101" s="158">
        <f>ROUND($D101*(1-INDEX(discounts[#All],MATCH($O101,discounts[[#All],[Discount Level]],0),MATCH(lettershopAddPricing[[#Headers],[≥ 75,000]],lettershopAddPricing[[#Headers],[≥ 1]:[≥ 150,000]],0))),2)</f>
        <v>51.35</v>
      </c>
      <c r="M101" s="158">
        <f>ROUND($D101*(1-INDEX(discounts[#All],MATCH($O101,discounts[[#All],[Discount Level]],0),MATCH(lettershopAddPricing[[#Headers],[≥ 100,000]],lettershopAddPricing[[#Headers],[≥ 1]:[≥ 150,000]],0))),2)</f>
        <v>49.21</v>
      </c>
      <c r="N101" s="158">
        <f>ROUND($D101*(1-INDEX(discounts[#All],MATCH($O101,discounts[[#All],[Discount Level]],0),MATCH(lettershopAddPricing[[#Headers],[≥ 150,000]],lettershopAddPricing[[#Headers],[≥ 1]:[≥ 150,000]],0))),2)</f>
        <v>47.07</v>
      </c>
      <c r="O101" s="179" t="s">
        <v>425</v>
      </c>
    </row>
    <row r="102" spans="1:15" ht="27" customHeight="1" x14ac:dyDescent="0.25">
      <c r="A102" s="144" t="s">
        <v>450</v>
      </c>
      <c r="B102" s="176" t="s">
        <v>452</v>
      </c>
      <c r="C102" s="177">
        <v>50</v>
      </c>
      <c r="D102" s="178">
        <v>72.260000000000005</v>
      </c>
      <c r="E102" s="158">
        <f>ROUND($D102*(1-INDEX(discounts[#All],MATCH($O102,discounts[[#All],[Discount Level]],0),MATCH(lettershopAddPricing[[#Headers],[≥ 5,000]],lettershopAddPricing[[#Headers],[≥ 1]:[≥ 150,000]],0))),2)</f>
        <v>66.84</v>
      </c>
      <c r="F102" s="158">
        <f>ROUND($D102*(1-INDEX(discounts[#All],MATCH($O102,discounts[[#All],[Discount Level]],0),MATCH(lettershopAddPricing[[#Headers],[≥ 10,000]],lettershopAddPricing[[#Headers],[≥ 1]:[≥ 150,000]],0))),2)</f>
        <v>63.23</v>
      </c>
      <c r="G102" s="158">
        <f>ROUND($D102*(1-INDEX(discounts[#All],MATCH($O102,discounts[[#All],[Discount Level]],0),MATCH(lettershopAddPricing[[#Headers],[≥ 15,000]],lettershopAddPricing[[#Headers],[≥ 1]:[≥ 150,000]],0))),2)</f>
        <v>59.61</v>
      </c>
      <c r="H102" s="158">
        <f>ROUND($D102*(1-INDEX(discounts[#All],MATCH($O102,discounts[[#All],[Discount Level]],0),MATCH(lettershopAddPricing[[#Headers],[≥ 20,000]],lettershopAddPricing[[#Headers],[≥ 1]:[≥ 150,000]],0))),2)</f>
        <v>57.81</v>
      </c>
      <c r="I102" s="158">
        <f>ROUND($D102*(1-INDEX(discounts[#All],MATCH($O102,discounts[[#All],[Discount Level]],0),MATCH(lettershopAddPricing[[#Headers],[≥ 25,000]],lettershopAddPricing[[#Headers],[≥ 1]:[≥ 150,000]],0))),2)</f>
        <v>54.2</v>
      </c>
      <c r="J102" s="158">
        <f>ROUND($D102*(1-INDEX(discounts[#All],MATCH($O102,discounts[[#All],[Discount Level]],0),MATCH(lettershopAddPricing[[#Headers],[≥ 35,000]],lettershopAddPricing[[#Headers],[≥ 1]:[≥ 150,000]],0))),2)</f>
        <v>50.58</v>
      </c>
      <c r="K102" s="158">
        <f>ROUND($D102*(1-INDEX(discounts[#All],MATCH($O102,discounts[[#All],[Discount Level]],0),MATCH(lettershopAddPricing[[#Headers],[≥ 50,000]],lettershopAddPricing[[#Headers],[≥ 1]:[≥ 150,000]],0))),2)</f>
        <v>46.97</v>
      </c>
      <c r="L102" s="158">
        <f>ROUND($D102*(1-INDEX(discounts[#All],MATCH($O102,discounts[[#All],[Discount Level]],0),MATCH(lettershopAddPricing[[#Headers],[≥ 75,000]],lettershopAddPricing[[#Headers],[≥ 1]:[≥ 150,000]],0))),2)</f>
        <v>43.36</v>
      </c>
      <c r="M102" s="158">
        <f>ROUND($D102*(1-INDEX(discounts[#All],MATCH($O102,discounts[[#All],[Discount Level]],0),MATCH(lettershopAddPricing[[#Headers],[≥ 100,000]],lettershopAddPricing[[#Headers],[≥ 1]:[≥ 150,000]],0))),2)</f>
        <v>41.55</v>
      </c>
      <c r="N102" s="158">
        <f>ROUND($D102*(1-INDEX(discounts[#All],MATCH($O102,discounts[[#All],[Discount Level]],0),MATCH(lettershopAddPricing[[#Headers],[≥ 150,000]],lettershopAddPricing[[#Headers],[≥ 1]:[≥ 150,000]],0))),2)</f>
        <v>39.74</v>
      </c>
      <c r="O102" s="179" t="s">
        <v>425</v>
      </c>
    </row>
    <row r="103" spans="1:15" ht="27" customHeight="1" x14ac:dyDescent="0.25">
      <c r="A103" s="144" t="s">
        <v>450</v>
      </c>
      <c r="B103" s="176" t="s">
        <v>453</v>
      </c>
      <c r="C103" s="177">
        <v>50</v>
      </c>
      <c r="D103" s="178">
        <v>85.59</v>
      </c>
      <c r="E103" s="158">
        <f>ROUND($D103*(1-INDEX(discounts[#All],MATCH($O103,discounts[[#All],[Discount Level]],0),MATCH(lettershopAddPricing[[#Headers],[≥ 5,000]],lettershopAddPricing[[#Headers],[≥ 1]:[≥ 150,000]],0))),2)</f>
        <v>79.17</v>
      </c>
      <c r="F103" s="158">
        <f>ROUND($D103*(1-INDEX(discounts[#All],MATCH($O103,discounts[[#All],[Discount Level]],0),MATCH(lettershopAddPricing[[#Headers],[≥ 10,000]],lettershopAddPricing[[#Headers],[≥ 1]:[≥ 150,000]],0))),2)</f>
        <v>74.89</v>
      </c>
      <c r="G103" s="158">
        <f>ROUND($D103*(1-INDEX(discounts[#All],MATCH($O103,discounts[[#All],[Discount Level]],0),MATCH(lettershopAddPricing[[#Headers],[≥ 15,000]],lettershopAddPricing[[#Headers],[≥ 1]:[≥ 150,000]],0))),2)</f>
        <v>70.61</v>
      </c>
      <c r="H103" s="158">
        <f>ROUND($D103*(1-INDEX(discounts[#All],MATCH($O103,discounts[[#All],[Discount Level]],0),MATCH(lettershopAddPricing[[#Headers],[≥ 20,000]],lettershopAddPricing[[#Headers],[≥ 1]:[≥ 150,000]],0))),2)</f>
        <v>68.47</v>
      </c>
      <c r="I103" s="158">
        <f>ROUND($D103*(1-INDEX(discounts[#All],MATCH($O103,discounts[[#All],[Discount Level]],0),MATCH(lettershopAddPricing[[#Headers],[≥ 25,000]],lettershopAddPricing[[#Headers],[≥ 1]:[≥ 150,000]],0))),2)</f>
        <v>64.19</v>
      </c>
      <c r="J103" s="158">
        <f>ROUND($D103*(1-INDEX(discounts[#All],MATCH($O103,discounts[[#All],[Discount Level]],0),MATCH(lettershopAddPricing[[#Headers],[≥ 35,000]],lettershopAddPricing[[#Headers],[≥ 1]:[≥ 150,000]],0))),2)</f>
        <v>59.91</v>
      </c>
      <c r="K103" s="158">
        <f>ROUND($D103*(1-INDEX(discounts[#All],MATCH($O103,discounts[[#All],[Discount Level]],0),MATCH(lettershopAddPricing[[#Headers],[≥ 50,000]],lettershopAddPricing[[#Headers],[≥ 1]:[≥ 150,000]],0))),2)</f>
        <v>55.63</v>
      </c>
      <c r="L103" s="158">
        <f>ROUND($D103*(1-INDEX(discounts[#All],MATCH($O103,discounts[[#All],[Discount Level]],0),MATCH(lettershopAddPricing[[#Headers],[≥ 75,000]],lettershopAddPricing[[#Headers],[≥ 1]:[≥ 150,000]],0))),2)</f>
        <v>51.35</v>
      </c>
      <c r="M103" s="158">
        <f>ROUND($D103*(1-INDEX(discounts[#All],MATCH($O103,discounts[[#All],[Discount Level]],0),MATCH(lettershopAddPricing[[#Headers],[≥ 100,000]],lettershopAddPricing[[#Headers],[≥ 1]:[≥ 150,000]],0))),2)</f>
        <v>49.21</v>
      </c>
      <c r="N103" s="158">
        <f>ROUND($D103*(1-INDEX(discounts[#All],MATCH($O103,discounts[[#All],[Discount Level]],0),MATCH(lettershopAddPricing[[#Headers],[≥ 150,000]],lettershopAddPricing[[#Headers],[≥ 1]:[≥ 150,000]],0))),2)</f>
        <v>47.07</v>
      </c>
      <c r="O103" s="179" t="s">
        <v>425</v>
      </c>
    </row>
    <row r="104" spans="1:15" ht="27" customHeight="1" x14ac:dyDescent="0.25">
      <c r="A104" s="144" t="s">
        <v>454</v>
      </c>
      <c r="B104" s="176" t="s">
        <v>455</v>
      </c>
      <c r="C104" s="177">
        <v>40</v>
      </c>
      <c r="D104" s="178">
        <v>61.5</v>
      </c>
      <c r="E104" s="158">
        <f>ROUND($D104*(1-INDEX(discounts[#All],MATCH($O104,discounts[[#All],[Discount Level]],0),MATCH(lettershopAddPricing[[#Headers],[≥ 5,000]],lettershopAddPricing[[#Headers],[≥ 1]:[≥ 150,000]],0))),2)</f>
        <v>56.89</v>
      </c>
      <c r="F104" s="158">
        <f>ROUND($D104*(1-INDEX(discounts[#All],MATCH($O104,discounts[[#All],[Discount Level]],0),MATCH(lettershopAddPricing[[#Headers],[≥ 10,000]],lettershopAddPricing[[#Headers],[≥ 1]:[≥ 150,000]],0))),2)</f>
        <v>53.81</v>
      </c>
      <c r="G104" s="158">
        <f>ROUND($D104*(1-INDEX(discounts[#All],MATCH($O104,discounts[[#All],[Discount Level]],0),MATCH(lettershopAddPricing[[#Headers],[≥ 15,000]],lettershopAddPricing[[#Headers],[≥ 1]:[≥ 150,000]],0))),2)</f>
        <v>50.74</v>
      </c>
      <c r="H104" s="158">
        <f>ROUND($D104*(1-INDEX(discounts[#All],MATCH($O104,discounts[[#All],[Discount Level]],0),MATCH(lettershopAddPricing[[#Headers],[≥ 20,000]],lettershopAddPricing[[#Headers],[≥ 1]:[≥ 150,000]],0))),2)</f>
        <v>49.2</v>
      </c>
      <c r="I104" s="158">
        <f>ROUND($D104*(1-INDEX(discounts[#All],MATCH($O104,discounts[[#All],[Discount Level]],0),MATCH(lettershopAddPricing[[#Headers],[≥ 25,000]],lettershopAddPricing[[#Headers],[≥ 1]:[≥ 150,000]],0))),2)</f>
        <v>46.13</v>
      </c>
      <c r="J104" s="158">
        <f>ROUND($D104*(1-INDEX(discounts[#All],MATCH($O104,discounts[[#All],[Discount Level]],0),MATCH(lettershopAddPricing[[#Headers],[≥ 35,000]],lettershopAddPricing[[#Headers],[≥ 1]:[≥ 150,000]],0))),2)</f>
        <v>43.05</v>
      </c>
      <c r="K104" s="158">
        <f>ROUND($D104*(1-INDEX(discounts[#All],MATCH($O104,discounts[[#All],[Discount Level]],0),MATCH(lettershopAddPricing[[#Headers],[≥ 50,000]],lettershopAddPricing[[#Headers],[≥ 1]:[≥ 150,000]],0))),2)</f>
        <v>39.979999999999997</v>
      </c>
      <c r="L104" s="158">
        <f>ROUND($D104*(1-INDEX(discounts[#All],MATCH($O104,discounts[[#All],[Discount Level]],0),MATCH(lettershopAddPricing[[#Headers],[≥ 75,000]],lettershopAddPricing[[#Headers],[≥ 1]:[≥ 150,000]],0))),2)</f>
        <v>36.9</v>
      </c>
      <c r="M104" s="158">
        <f>ROUND($D104*(1-INDEX(discounts[#All],MATCH($O104,discounts[[#All],[Discount Level]],0),MATCH(lettershopAddPricing[[#Headers],[≥ 100,000]],lettershopAddPricing[[#Headers],[≥ 1]:[≥ 150,000]],0))),2)</f>
        <v>35.36</v>
      </c>
      <c r="N104" s="158">
        <f>ROUND($D104*(1-INDEX(discounts[#All],MATCH($O104,discounts[[#All],[Discount Level]],0),MATCH(lettershopAddPricing[[#Headers],[≥ 150,000]],lettershopAddPricing[[#Headers],[≥ 1]:[≥ 150,000]],0))),2)</f>
        <v>33.83</v>
      </c>
      <c r="O104" s="179" t="s">
        <v>425</v>
      </c>
    </row>
    <row r="105" spans="1:15" ht="27" customHeight="1" x14ac:dyDescent="0.25">
      <c r="A105" s="144" t="s">
        <v>454</v>
      </c>
      <c r="B105" s="176" t="s">
        <v>456</v>
      </c>
      <c r="C105" s="177">
        <v>40</v>
      </c>
      <c r="D105" s="178">
        <v>69.19</v>
      </c>
      <c r="E105" s="158">
        <f>ROUND($D105*(1-INDEX(discounts[#All],MATCH($O105,discounts[[#All],[Discount Level]],0),MATCH(lettershopAddPricing[[#Headers],[≥ 5,000]],lettershopAddPricing[[#Headers],[≥ 1]:[≥ 150,000]],0))),2)</f>
        <v>64</v>
      </c>
      <c r="F105" s="158">
        <f>ROUND($D105*(1-INDEX(discounts[#All],MATCH($O105,discounts[[#All],[Discount Level]],0),MATCH(lettershopAddPricing[[#Headers],[≥ 10,000]],lettershopAddPricing[[#Headers],[≥ 1]:[≥ 150,000]],0))),2)</f>
        <v>60.54</v>
      </c>
      <c r="G105" s="158">
        <f>ROUND($D105*(1-INDEX(discounts[#All],MATCH($O105,discounts[[#All],[Discount Level]],0),MATCH(lettershopAddPricing[[#Headers],[≥ 15,000]],lettershopAddPricing[[#Headers],[≥ 1]:[≥ 150,000]],0))),2)</f>
        <v>57.08</v>
      </c>
      <c r="H105" s="158">
        <f>ROUND($D105*(1-INDEX(discounts[#All],MATCH($O105,discounts[[#All],[Discount Level]],0),MATCH(lettershopAddPricing[[#Headers],[≥ 20,000]],lettershopAddPricing[[#Headers],[≥ 1]:[≥ 150,000]],0))),2)</f>
        <v>55.35</v>
      </c>
      <c r="I105" s="158">
        <f>ROUND($D105*(1-INDEX(discounts[#All],MATCH($O105,discounts[[#All],[Discount Level]],0),MATCH(lettershopAddPricing[[#Headers],[≥ 25,000]],lettershopAddPricing[[#Headers],[≥ 1]:[≥ 150,000]],0))),2)</f>
        <v>51.89</v>
      </c>
      <c r="J105" s="158">
        <f>ROUND($D105*(1-INDEX(discounts[#All],MATCH($O105,discounts[[#All],[Discount Level]],0),MATCH(lettershopAddPricing[[#Headers],[≥ 35,000]],lettershopAddPricing[[#Headers],[≥ 1]:[≥ 150,000]],0))),2)</f>
        <v>48.43</v>
      </c>
      <c r="K105" s="158">
        <f>ROUND($D105*(1-INDEX(discounts[#All],MATCH($O105,discounts[[#All],[Discount Level]],0),MATCH(lettershopAddPricing[[#Headers],[≥ 50,000]],lettershopAddPricing[[#Headers],[≥ 1]:[≥ 150,000]],0))),2)</f>
        <v>44.97</v>
      </c>
      <c r="L105" s="158">
        <f>ROUND($D105*(1-INDEX(discounts[#All],MATCH($O105,discounts[[#All],[Discount Level]],0),MATCH(lettershopAddPricing[[#Headers],[≥ 75,000]],lettershopAddPricing[[#Headers],[≥ 1]:[≥ 150,000]],0))),2)</f>
        <v>41.51</v>
      </c>
      <c r="M105" s="158">
        <f>ROUND($D105*(1-INDEX(discounts[#All],MATCH($O105,discounts[[#All],[Discount Level]],0),MATCH(lettershopAddPricing[[#Headers],[≥ 100,000]],lettershopAddPricing[[#Headers],[≥ 1]:[≥ 150,000]],0))),2)</f>
        <v>39.78</v>
      </c>
      <c r="N105" s="158">
        <f>ROUND($D105*(1-INDEX(discounts[#All],MATCH($O105,discounts[[#All],[Discount Level]],0),MATCH(lettershopAddPricing[[#Headers],[≥ 150,000]],lettershopAddPricing[[#Headers],[≥ 1]:[≥ 150,000]],0))),2)</f>
        <v>38.049999999999997</v>
      </c>
      <c r="O105" s="179" t="s">
        <v>425</v>
      </c>
    </row>
    <row r="106" spans="1:15" ht="27" customHeight="1" x14ac:dyDescent="0.25">
      <c r="A106" s="144" t="s">
        <v>454</v>
      </c>
      <c r="B106" s="176" t="s">
        <v>457</v>
      </c>
      <c r="C106" s="177">
        <v>40</v>
      </c>
      <c r="D106" s="178">
        <v>72.260000000000005</v>
      </c>
      <c r="E106" s="158">
        <f>ROUND($D106*(1-INDEX(discounts[#All],MATCH($O106,discounts[[#All],[Discount Level]],0),MATCH(lettershopAddPricing[[#Headers],[≥ 5,000]],lettershopAddPricing[[#Headers],[≥ 1]:[≥ 150,000]],0))),2)</f>
        <v>66.84</v>
      </c>
      <c r="F106" s="158">
        <f>ROUND($D106*(1-INDEX(discounts[#All],MATCH($O106,discounts[[#All],[Discount Level]],0),MATCH(lettershopAddPricing[[#Headers],[≥ 10,000]],lettershopAddPricing[[#Headers],[≥ 1]:[≥ 150,000]],0))),2)</f>
        <v>63.23</v>
      </c>
      <c r="G106" s="158">
        <f>ROUND($D106*(1-INDEX(discounts[#All],MATCH($O106,discounts[[#All],[Discount Level]],0),MATCH(lettershopAddPricing[[#Headers],[≥ 15,000]],lettershopAddPricing[[#Headers],[≥ 1]:[≥ 150,000]],0))),2)</f>
        <v>59.61</v>
      </c>
      <c r="H106" s="158">
        <f>ROUND($D106*(1-INDEX(discounts[#All],MATCH($O106,discounts[[#All],[Discount Level]],0),MATCH(lettershopAddPricing[[#Headers],[≥ 20,000]],lettershopAddPricing[[#Headers],[≥ 1]:[≥ 150,000]],0))),2)</f>
        <v>57.81</v>
      </c>
      <c r="I106" s="158">
        <f>ROUND($D106*(1-INDEX(discounts[#All],MATCH($O106,discounts[[#All],[Discount Level]],0),MATCH(lettershopAddPricing[[#Headers],[≥ 25,000]],lettershopAddPricing[[#Headers],[≥ 1]:[≥ 150,000]],0))),2)</f>
        <v>54.2</v>
      </c>
      <c r="J106" s="158">
        <f>ROUND($D106*(1-INDEX(discounts[#All],MATCH($O106,discounts[[#All],[Discount Level]],0),MATCH(lettershopAddPricing[[#Headers],[≥ 35,000]],lettershopAddPricing[[#Headers],[≥ 1]:[≥ 150,000]],0))),2)</f>
        <v>50.58</v>
      </c>
      <c r="K106" s="158">
        <f>ROUND($D106*(1-INDEX(discounts[#All],MATCH($O106,discounts[[#All],[Discount Level]],0),MATCH(lettershopAddPricing[[#Headers],[≥ 50,000]],lettershopAddPricing[[#Headers],[≥ 1]:[≥ 150,000]],0))),2)</f>
        <v>46.97</v>
      </c>
      <c r="L106" s="158">
        <f>ROUND($D106*(1-INDEX(discounts[#All],MATCH($O106,discounts[[#All],[Discount Level]],0),MATCH(lettershopAddPricing[[#Headers],[≥ 75,000]],lettershopAddPricing[[#Headers],[≥ 1]:[≥ 150,000]],0))),2)</f>
        <v>43.36</v>
      </c>
      <c r="M106" s="158">
        <f>ROUND($D106*(1-INDEX(discounts[#All],MATCH($O106,discounts[[#All],[Discount Level]],0),MATCH(lettershopAddPricing[[#Headers],[≥ 100,000]],lettershopAddPricing[[#Headers],[≥ 1]:[≥ 150,000]],0))),2)</f>
        <v>41.55</v>
      </c>
      <c r="N106" s="158">
        <f>ROUND($D106*(1-INDEX(discounts[#All],MATCH($O106,discounts[[#All],[Discount Level]],0),MATCH(lettershopAddPricing[[#Headers],[≥ 150,000]],lettershopAddPricing[[#Headers],[≥ 1]:[≥ 150,000]],0))),2)</f>
        <v>39.74</v>
      </c>
      <c r="O106" s="179" t="s">
        <v>425</v>
      </c>
    </row>
    <row r="107" spans="1:15" ht="27" customHeight="1" x14ac:dyDescent="0.25">
      <c r="A107" s="144" t="s">
        <v>454</v>
      </c>
      <c r="B107" s="176" t="s">
        <v>458</v>
      </c>
      <c r="C107" s="177">
        <v>40</v>
      </c>
      <c r="D107" s="178">
        <v>78.41</v>
      </c>
      <c r="E107" s="158">
        <f>ROUND($D107*(1-INDEX(discounts[#All],MATCH($O107,discounts[[#All],[Discount Level]],0),MATCH(lettershopAddPricing[[#Headers],[≥ 5,000]],lettershopAddPricing[[#Headers],[≥ 1]:[≥ 150,000]],0))),2)</f>
        <v>72.53</v>
      </c>
      <c r="F107" s="158">
        <f>ROUND($D107*(1-INDEX(discounts[#All],MATCH($O107,discounts[[#All],[Discount Level]],0),MATCH(lettershopAddPricing[[#Headers],[≥ 10,000]],lettershopAddPricing[[#Headers],[≥ 1]:[≥ 150,000]],0))),2)</f>
        <v>68.61</v>
      </c>
      <c r="G107" s="158">
        <f>ROUND($D107*(1-INDEX(discounts[#All],MATCH($O107,discounts[[#All],[Discount Level]],0),MATCH(lettershopAddPricing[[#Headers],[≥ 15,000]],lettershopAddPricing[[#Headers],[≥ 1]:[≥ 150,000]],0))),2)</f>
        <v>64.69</v>
      </c>
      <c r="H107" s="158">
        <f>ROUND($D107*(1-INDEX(discounts[#All],MATCH($O107,discounts[[#All],[Discount Level]],0),MATCH(lettershopAddPricing[[#Headers],[≥ 20,000]],lettershopAddPricing[[#Headers],[≥ 1]:[≥ 150,000]],0))),2)</f>
        <v>62.73</v>
      </c>
      <c r="I107" s="158">
        <f>ROUND($D107*(1-INDEX(discounts[#All],MATCH($O107,discounts[[#All],[Discount Level]],0),MATCH(lettershopAddPricing[[#Headers],[≥ 25,000]],lettershopAddPricing[[#Headers],[≥ 1]:[≥ 150,000]],0))),2)</f>
        <v>58.81</v>
      </c>
      <c r="J107" s="158">
        <f>ROUND($D107*(1-INDEX(discounts[#All],MATCH($O107,discounts[[#All],[Discount Level]],0),MATCH(lettershopAddPricing[[#Headers],[≥ 35,000]],lettershopAddPricing[[#Headers],[≥ 1]:[≥ 150,000]],0))),2)</f>
        <v>54.89</v>
      </c>
      <c r="K107" s="158">
        <f>ROUND($D107*(1-INDEX(discounts[#All],MATCH($O107,discounts[[#All],[Discount Level]],0),MATCH(lettershopAddPricing[[#Headers],[≥ 50,000]],lettershopAddPricing[[#Headers],[≥ 1]:[≥ 150,000]],0))),2)</f>
        <v>50.97</v>
      </c>
      <c r="L107" s="158">
        <f>ROUND($D107*(1-INDEX(discounts[#All],MATCH($O107,discounts[[#All],[Discount Level]],0),MATCH(lettershopAddPricing[[#Headers],[≥ 75,000]],lettershopAddPricing[[#Headers],[≥ 1]:[≥ 150,000]],0))),2)</f>
        <v>47.05</v>
      </c>
      <c r="M107" s="158">
        <f>ROUND($D107*(1-INDEX(discounts[#All],MATCH($O107,discounts[[#All],[Discount Level]],0),MATCH(lettershopAddPricing[[#Headers],[≥ 100,000]],lettershopAddPricing[[#Headers],[≥ 1]:[≥ 150,000]],0))),2)</f>
        <v>45.09</v>
      </c>
      <c r="N107" s="158">
        <f>ROUND($D107*(1-INDEX(discounts[#All],MATCH($O107,discounts[[#All],[Discount Level]],0),MATCH(lettershopAddPricing[[#Headers],[≥ 150,000]],lettershopAddPricing[[#Headers],[≥ 1]:[≥ 150,000]],0))),2)</f>
        <v>43.13</v>
      </c>
      <c r="O107" s="179" t="s">
        <v>425</v>
      </c>
    </row>
    <row r="108" spans="1:15" ht="27" customHeight="1" x14ac:dyDescent="0.25">
      <c r="A108" s="144" t="s">
        <v>454</v>
      </c>
      <c r="B108" s="176" t="s">
        <v>459</v>
      </c>
      <c r="C108" s="177">
        <v>40</v>
      </c>
      <c r="D108" s="178">
        <v>83.54</v>
      </c>
      <c r="E108" s="158">
        <f>ROUND($D108*(1-INDEX(discounts[#All],MATCH($O108,discounts[[#All],[Discount Level]],0),MATCH(lettershopAddPricing[[#Headers],[≥ 5,000]],lettershopAddPricing[[#Headers],[≥ 1]:[≥ 150,000]],0))),2)</f>
        <v>77.27</v>
      </c>
      <c r="F108" s="158">
        <f>ROUND($D108*(1-INDEX(discounts[#All],MATCH($O108,discounts[[#All],[Discount Level]],0),MATCH(lettershopAddPricing[[#Headers],[≥ 10,000]],lettershopAddPricing[[#Headers],[≥ 1]:[≥ 150,000]],0))),2)</f>
        <v>73.099999999999994</v>
      </c>
      <c r="G108" s="158">
        <f>ROUND($D108*(1-INDEX(discounts[#All],MATCH($O108,discounts[[#All],[Discount Level]],0),MATCH(lettershopAddPricing[[#Headers],[≥ 15,000]],lettershopAddPricing[[#Headers],[≥ 1]:[≥ 150,000]],0))),2)</f>
        <v>68.92</v>
      </c>
      <c r="H108" s="158">
        <f>ROUND($D108*(1-INDEX(discounts[#All],MATCH($O108,discounts[[#All],[Discount Level]],0),MATCH(lettershopAddPricing[[#Headers],[≥ 20,000]],lettershopAddPricing[[#Headers],[≥ 1]:[≥ 150,000]],0))),2)</f>
        <v>66.83</v>
      </c>
      <c r="I108" s="158">
        <f>ROUND($D108*(1-INDEX(discounts[#All],MATCH($O108,discounts[[#All],[Discount Level]],0),MATCH(lettershopAddPricing[[#Headers],[≥ 25,000]],lettershopAddPricing[[#Headers],[≥ 1]:[≥ 150,000]],0))),2)</f>
        <v>62.66</v>
      </c>
      <c r="J108" s="158">
        <f>ROUND($D108*(1-INDEX(discounts[#All],MATCH($O108,discounts[[#All],[Discount Level]],0),MATCH(lettershopAddPricing[[#Headers],[≥ 35,000]],lettershopAddPricing[[#Headers],[≥ 1]:[≥ 150,000]],0))),2)</f>
        <v>58.48</v>
      </c>
      <c r="K108" s="158">
        <f>ROUND($D108*(1-INDEX(discounts[#All],MATCH($O108,discounts[[#All],[Discount Level]],0),MATCH(lettershopAddPricing[[#Headers],[≥ 50,000]],lettershopAddPricing[[#Headers],[≥ 1]:[≥ 150,000]],0))),2)</f>
        <v>54.3</v>
      </c>
      <c r="L108" s="158">
        <f>ROUND($D108*(1-INDEX(discounts[#All],MATCH($O108,discounts[[#All],[Discount Level]],0),MATCH(lettershopAddPricing[[#Headers],[≥ 75,000]],lettershopAddPricing[[#Headers],[≥ 1]:[≥ 150,000]],0))),2)</f>
        <v>50.12</v>
      </c>
      <c r="M108" s="158">
        <f>ROUND($D108*(1-INDEX(discounts[#All],MATCH($O108,discounts[[#All],[Discount Level]],0),MATCH(lettershopAddPricing[[#Headers],[≥ 100,000]],lettershopAddPricing[[#Headers],[≥ 1]:[≥ 150,000]],0))),2)</f>
        <v>48.04</v>
      </c>
      <c r="N108" s="158">
        <f>ROUND($D108*(1-INDEX(discounts[#All],MATCH($O108,discounts[[#All],[Discount Level]],0),MATCH(lettershopAddPricing[[#Headers],[≥ 150,000]],lettershopAddPricing[[#Headers],[≥ 1]:[≥ 150,000]],0))),2)</f>
        <v>45.95</v>
      </c>
      <c r="O108" s="179" t="s">
        <v>425</v>
      </c>
    </row>
    <row r="110" spans="1:15" ht="27" customHeight="1" x14ac:dyDescent="0.25">
      <c r="A110" s="146" t="s">
        <v>460</v>
      </c>
      <c r="B110" s="146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</row>
    <row r="111" spans="1:15" s="11" customFormat="1" ht="27" customHeight="1" x14ac:dyDescent="0.25">
      <c r="A111" s="137" t="s">
        <v>276</v>
      </c>
      <c r="B111" s="137" t="s">
        <v>277</v>
      </c>
      <c r="C111" s="138" t="s">
        <v>412</v>
      </c>
      <c r="D111" s="155" t="s">
        <v>367</v>
      </c>
      <c r="E111" s="155" t="s">
        <v>413</v>
      </c>
      <c r="F111" s="155" t="s">
        <v>414</v>
      </c>
      <c r="G111" s="155" t="s">
        <v>415</v>
      </c>
      <c r="H111" s="155" t="s">
        <v>416</v>
      </c>
      <c r="I111" s="155" t="s">
        <v>417</v>
      </c>
      <c r="J111" s="155" t="s">
        <v>418</v>
      </c>
      <c r="K111" s="155" t="s">
        <v>419</v>
      </c>
      <c r="L111" s="155" t="s">
        <v>420</v>
      </c>
      <c r="M111" s="155" t="s">
        <v>421</v>
      </c>
      <c r="N111" s="155" t="s">
        <v>422</v>
      </c>
      <c r="O111" s="155" t="s">
        <v>376</v>
      </c>
    </row>
    <row r="112" spans="1:15" ht="27" customHeight="1" x14ac:dyDescent="0.25">
      <c r="A112" s="144" t="s">
        <v>461</v>
      </c>
      <c r="B112" s="144" t="s">
        <v>462</v>
      </c>
      <c r="C112" s="151">
        <v>25</v>
      </c>
      <c r="D112" s="158">
        <v>31.26</v>
      </c>
      <c r="E112" s="158">
        <f>ROUND($D112*(1-INDEX(discounts[#All],MATCH($O112,discounts[[#All],[Discount Level]],0),MATCH(lettershopBuskroPricing[[#Headers],[≥ 5,000]],lettershopBuskroPricing[[#Headers],[≥ 1]:[≥ 150,000]],0))),2)</f>
        <v>28.92</v>
      </c>
      <c r="F112" s="158">
        <f>ROUND($D112*(1-INDEX(discounts[#All],MATCH($O112,discounts[[#All],[Discount Level]],0),MATCH(lettershopBuskroPricing[[#Headers],[≥ 10,000]],lettershopBuskroPricing[[#Headers],[≥ 1]:[≥ 150,000]],0))),2)</f>
        <v>27.35</v>
      </c>
      <c r="G112" s="158">
        <f>ROUND($D112*(1-INDEX(discounts[#All],MATCH($O112,discounts[[#All],[Discount Level]],0),MATCH(lettershopBuskroPricing[[#Headers],[≥ 15,000]],lettershopBuskroPricing[[#Headers],[≥ 1]:[≥ 150,000]],0))),2)</f>
        <v>25.79</v>
      </c>
      <c r="H112" s="158">
        <f>ROUND($D112*(1-INDEX(discounts[#All],MATCH($O112,discounts[[#All],[Discount Level]],0),MATCH(lettershopBuskroPricing[[#Headers],[≥ 20,000]],lettershopBuskroPricing[[#Headers],[≥ 1]:[≥ 150,000]],0))),2)</f>
        <v>25.01</v>
      </c>
      <c r="I112" s="158">
        <f>ROUND($D112*(1-INDEX(discounts[#All],MATCH($O112,discounts[[#All],[Discount Level]],0),MATCH(lettershopBuskroPricing[[#Headers],[≥ 25,000]],lettershopBuskroPricing[[#Headers],[≥ 1]:[≥ 150,000]],0))),2)</f>
        <v>23.45</v>
      </c>
      <c r="J112" s="158">
        <f>ROUND($D112*(1-INDEX(discounts[#All],MATCH($O112,discounts[[#All],[Discount Level]],0),MATCH(lettershopBuskroPricing[[#Headers],[≥ 35,000]],lettershopBuskroPricing[[#Headers],[≥ 1]:[≥ 150,000]],0))),2)</f>
        <v>21.88</v>
      </c>
      <c r="K112" s="158">
        <f>ROUND($D112*(1-INDEX(discounts[#All],MATCH($O112,discounts[[#All],[Discount Level]],0),MATCH(lettershopBuskroPricing[[#Headers],[≥ 50,000]],lettershopBuskroPricing[[#Headers],[≥ 1]:[≥ 150,000]],0))),2)</f>
        <v>20.32</v>
      </c>
      <c r="L112" s="158">
        <f>ROUND($D112*(1-INDEX(discounts[#All],MATCH($O112,discounts[[#All],[Discount Level]],0),MATCH(lettershopBuskroPricing[[#Headers],[≥ 75,000]],lettershopBuskroPricing[[#Headers],[≥ 1]:[≥ 150,000]],0))),2)</f>
        <v>18.760000000000002</v>
      </c>
      <c r="M112" s="158">
        <f>ROUND($D112*(1-INDEX(discounts[#All],MATCH($O112,discounts[[#All],[Discount Level]],0),MATCH(lettershopBuskroPricing[[#Headers],[≥ 100,000]],lettershopBuskroPricing[[#Headers],[≥ 1]:[≥ 150,000]],0))),2)</f>
        <v>17.97</v>
      </c>
      <c r="N112" s="158">
        <f>ROUND($D112*(1-INDEX(discounts[#All],MATCH($O112,discounts[[#All],[Discount Level]],0),MATCH(lettershopBuskroPricing[[#Headers],[≥ 150,000]],lettershopBuskroPricing[[#Headers],[≥ 1]:[≥ 150,000]],0))),2)</f>
        <v>17.190000000000001</v>
      </c>
      <c r="O112" s="180" t="s">
        <v>425</v>
      </c>
    </row>
    <row r="113" spans="1:15" ht="27" customHeight="1" x14ac:dyDescent="0.25">
      <c r="A113" s="144" t="s">
        <v>406</v>
      </c>
      <c r="B113" s="144" t="s">
        <v>463</v>
      </c>
      <c r="C113" s="151">
        <v>25</v>
      </c>
      <c r="D113" s="158">
        <v>31.26</v>
      </c>
      <c r="E113" s="158">
        <f>ROUND($D113*(1-INDEX(discounts[#All],MATCH($O113,discounts[[#All],[Discount Level]],0),MATCH(lettershopBuskroPricing[[#Headers],[≥ 5,000]],lettershopBuskroPricing[[#Headers],[≥ 1]:[≥ 150,000]],0))),2)</f>
        <v>28.92</v>
      </c>
      <c r="F113" s="158">
        <f>ROUND($D113*(1-INDEX(discounts[#All],MATCH($O113,discounts[[#All],[Discount Level]],0),MATCH(lettershopBuskroPricing[[#Headers],[≥ 10,000]],lettershopBuskroPricing[[#Headers],[≥ 1]:[≥ 150,000]],0))),2)</f>
        <v>27.35</v>
      </c>
      <c r="G113" s="158">
        <f>ROUND($D113*(1-INDEX(discounts[#All],MATCH($O113,discounts[[#All],[Discount Level]],0),MATCH(lettershopBuskroPricing[[#Headers],[≥ 15,000]],lettershopBuskroPricing[[#Headers],[≥ 1]:[≥ 150,000]],0))),2)</f>
        <v>25.79</v>
      </c>
      <c r="H113" s="158">
        <f>ROUND($D113*(1-INDEX(discounts[#All],MATCH($O113,discounts[[#All],[Discount Level]],0),MATCH(lettershopBuskroPricing[[#Headers],[≥ 20,000]],lettershopBuskroPricing[[#Headers],[≥ 1]:[≥ 150,000]],0))),2)</f>
        <v>25.01</v>
      </c>
      <c r="I113" s="158">
        <f>ROUND($D113*(1-INDEX(discounts[#All],MATCH($O113,discounts[[#All],[Discount Level]],0),MATCH(lettershopBuskroPricing[[#Headers],[≥ 25,000]],lettershopBuskroPricing[[#Headers],[≥ 1]:[≥ 150,000]],0))),2)</f>
        <v>23.45</v>
      </c>
      <c r="J113" s="158">
        <f>ROUND($D113*(1-INDEX(discounts[#All],MATCH($O113,discounts[[#All],[Discount Level]],0),MATCH(lettershopBuskroPricing[[#Headers],[≥ 35,000]],lettershopBuskroPricing[[#Headers],[≥ 1]:[≥ 150,000]],0))),2)</f>
        <v>21.88</v>
      </c>
      <c r="K113" s="158">
        <f>ROUND($D113*(1-INDEX(discounts[#All],MATCH($O113,discounts[[#All],[Discount Level]],0),MATCH(lettershopBuskroPricing[[#Headers],[≥ 50,000]],lettershopBuskroPricing[[#Headers],[≥ 1]:[≥ 150,000]],0))),2)</f>
        <v>20.32</v>
      </c>
      <c r="L113" s="158">
        <f>ROUND($D113*(1-INDEX(discounts[#All],MATCH($O113,discounts[[#All],[Discount Level]],0),MATCH(lettershopBuskroPricing[[#Headers],[≥ 75,000]],lettershopBuskroPricing[[#Headers],[≥ 1]:[≥ 150,000]],0))),2)</f>
        <v>18.760000000000002</v>
      </c>
      <c r="M113" s="158">
        <f>ROUND($D113*(1-INDEX(discounts[#All],MATCH($O113,discounts[[#All],[Discount Level]],0),MATCH(lettershopBuskroPricing[[#Headers],[≥ 100,000]],lettershopBuskroPricing[[#Headers],[≥ 1]:[≥ 150,000]],0))),2)</f>
        <v>17.97</v>
      </c>
      <c r="N113" s="158">
        <f>ROUND($D113*(1-INDEX(discounts[#All],MATCH($O113,discounts[[#All],[Discount Level]],0),MATCH(lettershopBuskroPricing[[#Headers],[≥ 150,000]],lettershopBuskroPricing[[#Headers],[≥ 1]:[≥ 150,000]],0))),2)</f>
        <v>17.190000000000001</v>
      </c>
      <c r="O113" s="179" t="s">
        <v>425</v>
      </c>
    </row>
    <row r="114" spans="1:15" ht="27" customHeight="1" x14ac:dyDescent="0.25">
      <c r="A114" s="144" t="s">
        <v>464</v>
      </c>
      <c r="B114" s="144" t="s">
        <v>465</v>
      </c>
      <c r="C114" s="151">
        <v>20</v>
      </c>
      <c r="D114" s="158">
        <v>21.01</v>
      </c>
      <c r="E114" s="158">
        <f>ROUND($D114*(1-INDEX(discounts[#All],MATCH($O114,discounts[[#All],[Discount Level]],0),MATCH(lettershopBuskroPricing[[#Headers],[≥ 5,000]],lettershopBuskroPricing[[#Headers],[≥ 1]:[≥ 150,000]],0))),2)</f>
        <v>19.43</v>
      </c>
      <c r="F114" s="158">
        <f>ROUND($D114*(1-INDEX(discounts[#All],MATCH($O114,discounts[[#All],[Discount Level]],0),MATCH(lettershopBuskroPricing[[#Headers],[≥ 10,000]],lettershopBuskroPricing[[#Headers],[≥ 1]:[≥ 150,000]],0))),2)</f>
        <v>18.38</v>
      </c>
      <c r="G114" s="158">
        <f>ROUND($D114*(1-INDEX(discounts[#All],MATCH($O114,discounts[[#All],[Discount Level]],0),MATCH(lettershopBuskroPricing[[#Headers],[≥ 15,000]],lettershopBuskroPricing[[#Headers],[≥ 1]:[≥ 150,000]],0))),2)</f>
        <v>17.329999999999998</v>
      </c>
      <c r="H114" s="158">
        <f>ROUND($D114*(1-INDEX(discounts[#All],MATCH($O114,discounts[[#All],[Discount Level]],0),MATCH(lettershopBuskroPricing[[#Headers],[≥ 20,000]],lettershopBuskroPricing[[#Headers],[≥ 1]:[≥ 150,000]],0))),2)</f>
        <v>16.809999999999999</v>
      </c>
      <c r="I114" s="158">
        <f>ROUND($D114*(1-INDEX(discounts[#All],MATCH($O114,discounts[[#All],[Discount Level]],0),MATCH(lettershopBuskroPricing[[#Headers],[≥ 25,000]],lettershopBuskroPricing[[#Headers],[≥ 1]:[≥ 150,000]],0))),2)</f>
        <v>15.76</v>
      </c>
      <c r="J114" s="158">
        <f>ROUND($D114*(1-INDEX(discounts[#All],MATCH($O114,discounts[[#All],[Discount Level]],0),MATCH(lettershopBuskroPricing[[#Headers],[≥ 35,000]],lettershopBuskroPricing[[#Headers],[≥ 1]:[≥ 150,000]],0))),2)</f>
        <v>14.71</v>
      </c>
      <c r="K114" s="158">
        <f>ROUND($D114*(1-INDEX(discounts[#All],MATCH($O114,discounts[[#All],[Discount Level]],0),MATCH(lettershopBuskroPricing[[#Headers],[≥ 50,000]],lettershopBuskroPricing[[#Headers],[≥ 1]:[≥ 150,000]],0))),2)</f>
        <v>13.66</v>
      </c>
      <c r="L114" s="158">
        <f>ROUND($D114*(1-INDEX(discounts[#All],MATCH($O114,discounts[[#All],[Discount Level]],0),MATCH(lettershopBuskroPricing[[#Headers],[≥ 75,000]],lettershopBuskroPricing[[#Headers],[≥ 1]:[≥ 150,000]],0))),2)</f>
        <v>12.61</v>
      </c>
      <c r="M114" s="158">
        <f>ROUND($D114*(1-INDEX(discounts[#All],MATCH($O114,discounts[[#All],[Discount Level]],0),MATCH(lettershopBuskroPricing[[#Headers],[≥ 100,000]],lettershopBuskroPricing[[#Headers],[≥ 1]:[≥ 150,000]],0))),2)</f>
        <v>12.08</v>
      </c>
      <c r="N114" s="158">
        <f>ROUND($D114*(1-INDEX(discounts[#All],MATCH($O114,discounts[[#All],[Discount Level]],0),MATCH(lettershopBuskroPricing[[#Headers],[≥ 150,000]],lettershopBuskroPricing[[#Headers],[≥ 1]:[≥ 150,000]],0))),2)</f>
        <v>11.56</v>
      </c>
      <c r="O114" s="179" t="s">
        <v>425</v>
      </c>
    </row>
    <row r="115" spans="1:15" ht="27" customHeight="1" x14ac:dyDescent="0.25">
      <c r="A115" s="144" t="s">
        <v>466</v>
      </c>
      <c r="B115" s="144" t="s">
        <v>467</v>
      </c>
      <c r="C115" s="151">
        <v>25</v>
      </c>
      <c r="D115" s="158">
        <v>26.14</v>
      </c>
      <c r="E115" s="158">
        <f>ROUND($D115*(1-INDEX(discounts[#All],MATCH($O115,discounts[[#All],[Discount Level]],0),MATCH(lettershopBuskroPricing[[#Headers],[≥ 5,000]],lettershopBuskroPricing[[#Headers],[≥ 1]:[≥ 150,000]],0))),2)</f>
        <v>24.18</v>
      </c>
      <c r="F115" s="158">
        <f>ROUND($D115*(1-INDEX(discounts[#All],MATCH($O115,discounts[[#All],[Discount Level]],0),MATCH(lettershopBuskroPricing[[#Headers],[≥ 10,000]],lettershopBuskroPricing[[#Headers],[≥ 1]:[≥ 150,000]],0))),2)</f>
        <v>22.87</v>
      </c>
      <c r="G115" s="158">
        <f>ROUND($D115*(1-INDEX(discounts[#All],MATCH($O115,discounts[[#All],[Discount Level]],0),MATCH(lettershopBuskroPricing[[#Headers],[≥ 15,000]],lettershopBuskroPricing[[#Headers],[≥ 1]:[≥ 150,000]],0))),2)</f>
        <v>21.57</v>
      </c>
      <c r="H115" s="158">
        <f>ROUND($D115*(1-INDEX(discounts[#All],MATCH($O115,discounts[[#All],[Discount Level]],0),MATCH(lettershopBuskroPricing[[#Headers],[≥ 20,000]],lettershopBuskroPricing[[#Headers],[≥ 1]:[≥ 150,000]],0))),2)</f>
        <v>20.91</v>
      </c>
      <c r="I115" s="158">
        <f>ROUND($D115*(1-INDEX(discounts[#All],MATCH($O115,discounts[[#All],[Discount Level]],0),MATCH(lettershopBuskroPricing[[#Headers],[≥ 25,000]],lettershopBuskroPricing[[#Headers],[≥ 1]:[≥ 150,000]],0))),2)</f>
        <v>19.61</v>
      </c>
      <c r="J115" s="158">
        <f>ROUND($D115*(1-INDEX(discounts[#All],MATCH($O115,discounts[[#All],[Discount Level]],0),MATCH(lettershopBuskroPricing[[#Headers],[≥ 35,000]],lettershopBuskroPricing[[#Headers],[≥ 1]:[≥ 150,000]],0))),2)</f>
        <v>18.3</v>
      </c>
      <c r="K115" s="158">
        <f>ROUND($D115*(1-INDEX(discounts[#All],MATCH($O115,discounts[[#All],[Discount Level]],0),MATCH(lettershopBuskroPricing[[#Headers],[≥ 50,000]],lettershopBuskroPricing[[#Headers],[≥ 1]:[≥ 150,000]],0))),2)</f>
        <v>16.989999999999998</v>
      </c>
      <c r="L115" s="158">
        <f>ROUND($D115*(1-INDEX(discounts[#All],MATCH($O115,discounts[[#All],[Discount Level]],0),MATCH(lettershopBuskroPricing[[#Headers],[≥ 75,000]],lettershopBuskroPricing[[#Headers],[≥ 1]:[≥ 150,000]],0))),2)</f>
        <v>15.68</v>
      </c>
      <c r="M115" s="158">
        <f>ROUND($D115*(1-INDEX(discounts[#All],MATCH($O115,discounts[[#All],[Discount Level]],0),MATCH(lettershopBuskroPricing[[#Headers],[≥ 100,000]],lettershopBuskroPricing[[#Headers],[≥ 1]:[≥ 150,000]],0))),2)</f>
        <v>15.03</v>
      </c>
      <c r="N115" s="158">
        <f>ROUND($D115*(1-INDEX(discounts[#All],MATCH($O115,discounts[[#All],[Discount Level]],0),MATCH(lettershopBuskroPricing[[#Headers],[≥ 150,000]],lettershopBuskroPricing[[#Headers],[≥ 1]:[≥ 150,000]],0))),2)</f>
        <v>14.38</v>
      </c>
      <c r="O115" s="179" t="s">
        <v>425</v>
      </c>
    </row>
    <row r="116" spans="1:15" ht="27" customHeight="1" x14ac:dyDescent="0.25">
      <c r="A116" s="144" t="s">
        <v>466</v>
      </c>
      <c r="B116" s="144" t="s">
        <v>468</v>
      </c>
      <c r="C116" s="151">
        <v>35</v>
      </c>
      <c r="D116" s="158">
        <v>31.26</v>
      </c>
      <c r="E116" s="158">
        <f>ROUND($D116*(1-INDEX(discounts[#All],MATCH($O116,discounts[[#All],[Discount Level]],0),MATCH(lettershopBuskroPricing[[#Headers],[≥ 5,000]],lettershopBuskroPricing[[#Headers],[≥ 1]:[≥ 150,000]],0))),2)</f>
        <v>28.92</v>
      </c>
      <c r="F116" s="158">
        <f>ROUND($D116*(1-INDEX(discounts[#All],MATCH($O116,discounts[[#All],[Discount Level]],0),MATCH(lettershopBuskroPricing[[#Headers],[≥ 10,000]],lettershopBuskroPricing[[#Headers],[≥ 1]:[≥ 150,000]],0))),2)</f>
        <v>27.35</v>
      </c>
      <c r="G116" s="158">
        <f>ROUND($D116*(1-INDEX(discounts[#All],MATCH($O116,discounts[[#All],[Discount Level]],0),MATCH(lettershopBuskroPricing[[#Headers],[≥ 15,000]],lettershopBuskroPricing[[#Headers],[≥ 1]:[≥ 150,000]],0))),2)</f>
        <v>25.79</v>
      </c>
      <c r="H116" s="158">
        <f>ROUND($D116*(1-INDEX(discounts[#All],MATCH($O116,discounts[[#All],[Discount Level]],0),MATCH(lettershopBuskroPricing[[#Headers],[≥ 20,000]],lettershopBuskroPricing[[#Headers],[≥ 1]:[≥ 150,000]],0))),2)</f>
        <v>25.01</v>
      </c>
      <c r="I116" s="158">
        <f>ROUND($D116*(1-INDEX(discounts[#All],MATCH($O116,discounts[[#All],[Discount Level]],0),MATCH(lettershopBuskroPricing[[#Headers],[≥ 25,000]],lettershopBuskroPricing[[#Headers],[≥ 1]:[≥ 150,000]],0))),2)</f>
        <v>23.45</v>
      </c>
      <c r="J116" s="158">
        <f>ROUND($D116*(1-INDEX(discounts[#All],MATCH($O116,discounts[[#All],[Discount Level]],0),MATCH(lettershopBuskroPricing[[#Headers],[≥ 35,000]],lettershopBuskroPricing[[#Headers],[≥ 1]:[≥ 150,000]],0))),2)</f>
        <v>21.88</v>
      </c>
      <c r="K116" s="158">
        <f>ROUND($D116*(1-INDEX(discounts[#All],MATCH($O116,discounts[[#All],[Discount Level]],0),MATCH(lettershopBuskroPricing[[#Headers],[≥ 50,000]],lettershopBuskroPricing[[#Headers],[≥ 1]:[≥ 150,000]],0))),2)</f>
        <v>20.32</v>
      </c>
      <c r="L116" s="158">
        <f>ROUND($D116*(1-INDEX(discounts[#All],MATCH($O116,discounts[[#All],[Discount Level]],0),MATCH(lettershopBuskroPricing[[#Headers],[≥ 75,000]],lettershopBuskroPricing[[#Headers],[≥ 1]:[≥ 150,000]],0))),2)</f>
        <v>18.760000000000002</v>
      </c>
      <c r="M116" s="158">
        <f>ROUND($D116*(1-INDEX(discounts[#All],MATCH($O116,discounts[[#All],[Discount Level]],0),MATCH(lettershopBuskroPricing[[#Headers],[≥ 100,000]],lettershopBuskroPricing[[#Headers],[≥ 1]:[≥ 150,000]],0))),2)</f>
        <v>17.97</v>
      </c>
      <c r="N116" s="158">
        <f>ROUND($D116*(1-INDEX(discounts[#All],MATCH($O116,discounts[[#All],[Discount Level]],0),MATCH(lettershopBuskroPricing[[#Headers],[≥ 150,000]],lettershopBuskroPricing[[#Headers],[≥ 1]:[≥ 150,000]],0))),2)</f>
        <v>17.190000000000001</v>
      </c>
      <c r="O116" s="179" t="s">
        <v>425</v>
      </c>
    </row>
    <row r="117" spans="1:15" ht="27" customHeight="1" x14ac:dyDescent="0.25">
      <c r="A117" s="144" t="s">
        <v>466</v>
      </c>
      <c r="B117" s="144" t="s">
        <v>469</v>
      </c>
      <c r="C117" s="151">
        <v>25</v>
      </c>
      <c r="D117" s="158">
        <v>26.14</v>
      </c>
      <c r="E117" s="158">
        <f>ROUND($D117*(1-INDEX(discounts[#All],MATCH($O117,discounts[[#All],[Discount Level]],0),MATCH(lettershopBuskroPricing[[#Headers],[≥ 5,000]],lettershopBuskroPricing[[#Headers],[≥ 1]:[≥ 150,000]],0))),2)</f>
        <v>24.18</v>
      </c>
      <c r="F117" s="158">
        <f>ROUND($D117*(1-INDEX(discounts[#All],MATCH($O117,discounts[[#All],[Discount Level]],0),MATCH(lettershopBuskroPricing[[#Headers],[≥ 10,000]],lettershopBuskroPricing[[#Headers],[≥ 1]:[≥ 150,000]],0))),2)</f>
        <v>22.87</v>
      </c>
      <c r="G117" s="158">
        <f>ROUND($D117*(1-INDEX(discounts[#All],MATCH($O117,discounts[[#All],[Discount Level]],0),MATCH(lettershopBuskroPricing[[#Headers],[≥ 15,000]],lettershopBuskroPricing[[#Headers],[≥ 1]:[≥ 150,000]],0))),2)</f>
        <v>21.57</v>
      </c>
      <c r="H117" s="158">
        <f>ROUND($D117*(1-INDEX(discounts[#All],MATCH($O117,discounts[[#All],[Discount Level]],0),MATCH(lettershopBuskroPricing[[#Headers],[≥ 20,000]],lettershopBuskroPricing[[#Headers],[≥ 1]:[≥ 150,000]],0))),2)</f>
        <v>20.91</v>
      </c>
      <c r="I117" s="158">
        <f>ROUND($D117*(1-INDEX(discounts[#All],MATCH($O117,discounts[[#All],[Discount Level]],0),MATCH(lettershopBuskroPricing[[#Headers],[≥ 25,000]],lettershopBuskroPricing[[#Headers],[≥ 1]:[≥ 150,000]],0))),2)</f>
        <v>19.61</v>
      </c>
      <c r="J117" s="158">
        <f>ROUND($D117*(1-INDEX(discounts[#All],MATCH($O117,discounts[[#All],[Discount Level]],0),MATCH(lettershopBuskroPricing[[#Headers],[≥ 35,000]],lettershopBuskroPricing[[#Headers],[≥ 1]:[≥ 150,000]],0))),2)</f>
        <v>18.3</v>
      </c>
      <c r="K117" s="158">
        <f>ROUND($D117*(1-INDEX(discounts[#All],MATCH($O117,discounts[[#All],[Discount Level]],0),MATCH(lettershopBuskroPricing[[#Headers],[≥ 50,000]],lettershopBuskroPricing[[#Headers],[≥ 1]:[≥ 150,000]],0))),2)</f>
        <v>16.989999999999998</v>
      </c>
      <c r="L117" s="158">
        <f>ROUND($D117*(1-INDEX(discounts[#All],MATCH($O117,discounts[[#All],[Discount Level]],0),MATCH(lettershopBuskroPricing[[#Headers],[≥ 75,000]],lettershopBuskroPricing[[#Headers],[≥ 1]:[≥ 150,000]],0))),2)</f>
        <v>15.68</v>
      </c>
      <c r="M117" s="158">
        <f>ROUND($D117*(1-INDEX(discounts[#All],MATCH($O117,discounts[[#All],[Discount Level]],0),MATCH(lettershopBuskroPricing[[#Headers],[≥ 100,000]],lettershopBuskroPricing[[#Headers],[≥ 1]:[≥ 150,000]],0))),2)</f>
        <v>15.03</v>
      </c>
      <c r="N117" s="158">
        <f>ROUND($D117*(1-INDEX(discounts[#All],MATCH($O117,discounts[[#All],[Discount Level]],0),MATCH(lettershopBuskroPricing[[#Headers],[≥ 150,000]],lettershopBuskroPricing[[#Headers],[≥ 1]:[≥ 150,000]],0))),2)</f>
        <v>14.38</v>
      </c>
      <c r="O117" s="179" t="s">
        <v>425</v>
      </c>
    </row>
    <row r="118" spans="1:15" ht="27" customHeight="1" x14ac:dyDescent="0.25">
      <c r="A118" s="144" t="s">
        <v>466</v>
      </c>
      <c r="B118" s="144" t="s">
        <v>470</v>
      </c>
      <c r="C118" s="151">
        <v>35</v>
      </c>
      <c r="D118" s="158">
        <v>42.03</v>
      </c>
      <c r="E118" s="158">
        <f>ROUND($D118*(1-INDEX(discounts[#All],MATCH($O118,discounts[[#All],[Discount Level]],0),MATCH(lettershopBuskroPricing[[#Headers],[≥ 5,000]],lettershopBuskroPricing[[#Headers],[≥ 1]:[≥ 150,000]],0))),2)</f>
        <v>38.880000000000003</v>
      </c>
      <c r="F118" s="158">
        <f>ROUND($D118*(1-INDEX(discounts[#All],MATCH($O118,discounts[[#All],[Discount Level]],0),MATCH(lettershopBuskroPricing[[#Headers],[≥ 10,000]],lettershopBuskroPricing[[#Headers],[≥ 1]:[≥ 150,000]],0))),2)</f>
        <v>36.78</v>
      </c>
      <c r="G118" s="158">
        <f>ROUND($D118*(1-INDEX(discounts[#All],MATCH($O118,discounts[[#All],[Discount Level]],0),MATCH(lettershopBuskroPricing[[#Headers],[≥ 15,000]],lettershopBuskroPricing[[#Headers],[≥ 1]:[≥ 150,000]],0))),2)</f>
        <v>34.67</v>
      </c>
      <c r="H118" s="158">
        <f>ROUND($D118*(1-INDEX(discounts[#All],MATCH($O118,discounts[[#All],[Discount Level]],0),MATCH(lettershopBuskroPricing[[#Headers],[≥ 20,000]],lettershopBuskroPricing[[#Headers],[≥ 1]:[≥ 150,000]],0))),2)</f>
        <v>33.619999999999997</v>
      </c>
      <c r="I118" s="158">
        <f>ROUND($D118*(1-INDEX(discounts[#All],MATCH($O118,discounts[[#All],[Discount Level]],0),MATCH(lettershopBuskroPricing[[#Headers],[≥ 25,000]],lettershopBuskroPricing[[#Headers],[≥ 1]:[≥ 150,000]],0))),2)</f>
        <v>31.52</v>
      </c>
      <c r="J118" s="158">
        <f>ROUND($D118*(1-INDEX(discounts[#All],MATCH($O118,discounts[[#All],[Discount Level]],0),MATCH(lettershopBuskroPricing[[#Headers],[≥ 35,000]],lettershopBuskroPricing[[#Headers],[≥ 1]:[≥ 150,000]],0))),2)</f>
        <v>29.42</v>
      </c>
      <c r="K118" s="158">
        <f>ROUND($D118*(1-INDEX(discounts[#All],MATCH($O118,discounts[[#All],[Discount Level]],0),MATCH(lettershopBuskroPricing[[#Headers],[≥ 50,000]],lettershopBuskroPricing[[#Headers],[≥ 1]:[≥ 150,000]],0))),2)</f>
        <v>27.32</v>
      </c>
      <c r="L118" s="158">
        <f>ROUND($D118*(1-INDEX(discounts[#All],MATCH($O118,discounts[[#All],[Discount Level]],0),MATCH(lettershopBuskroPricing[[#Headers],[≥ 75,000]],lettershopBuskroPricing[[#Headers],[≥ 1]:[≥ 150,000]],0))),2)</f>
        <v>25.22</v>
      </c>
      <c r="M118" s="158">
        <f>ROUND($D118*(1-INDEX(discounts[#All],MATCH($O118,discounts[[#All],[Discount Level]],0),MATCH(lettershopBuskroPricing[[#Headers],[≥ 100,000]],lettershopBuskroPricing[[#Headers],[≥ 1]:[≥ 150,000]],0))),2)</f>
        <v>24.17</v>
      </c>
      <c r="N118" s="158">
        <f>ROUND($D118*(1-INDEX(discounts[#All],MATCH($O118,discounts[[#All],[Discount Level]],0),MATCH(lettershopBuskroPricing[[#Headers],[≥ 150,000]],lettershopBuskroPricing[[#Headers],[≥ 1]:[≥ 150,000]],0))),2)</f>
        <v>23.12</v>
      </c>
      <c r="O118" s="179" t="s">
        <v>425</v>
      </c>
    </row>
    <row r="119" spans="1:15" ht="27" customHeight="1" x14ac:dyDescent="0.25">
      <c r="A119" s="144" t="s">
        <v>466</v>
      </c>
      <c r="B119" s="144" t="s">
        <v>471</v>
      </c>
      <c r="C119" s="151">
        <v>45</v>
      </c>
      <c r="D119" s="158">
        <v>52.28</v>
      </c>
      <c r="E119" s="158">
        <f>ROUND($D119*(1-INDEX(discounts[#All],MATCH($O119,discounts[[#All],[Discount Level]],0),MATCH(lettershopBuskroPricing[[#Headers],[≥ 5,000]],lettershopBuskroPricing[[#Headers],[≥ 1]:[≥ 150,000]],0))),2)</f>
        <v>48.36</v>
      </c>
      <c r="F119" s="158">
        <f>ROUND($D119*(1-INDEX(discounts[#All],MATCH($O119,discounts[[#All],[Discount Level]],0),MATCH(lettershopBuskroPricing[[#Headers],[≥ 10,000]],lettershopBuskroPricing[[#Headers],[≥ 1]:[≥ 150,000]],0))),2)</f>
        <v>45.75</v>
      </c>
      <c r="G119" s="158">
        <f>ROUND($D119*(1-INDEX(discounts[#All],MATCH($O119,discounts[[#All],[Discount Level]],0),MATCH(lettershopBuskroPricing[[#Headers],[≥ 15,000]],lettershopBuskroPricing[[#Headers],[≥ 1]:[≥ 150,000]],0))),2)</f>
        <v>43.13</v>
      </c>
      <c r="H119" s="158">
        <f>ROUND($D119*(1-INDEX(discounts[#All],MATCH($O119,discounts[[#All],[Discount Level]],0),MATCH(lettershopBuskroPricing[[#Headers],[≥ 20,000]],lettershopBuskroPricing[[#Headers],[≥ 1]:[≥ 150,000]],0))),2)</f>
        <v>41.82</v>
      </c>
      <c r="I119" s="158">
        <f>ROUND($D119*(1-INDEX(discounts[#All],MATCH($O119,discounts[[#All],[Discount Level]],0),MATCH(lettershopBuskroPricing[[#Headers],[≥ 25,000]],lettershopBuskroPricing[[#Headers],[≥ 1]:[≥ 150,000]],0))),2)</f>
        <v>39.21</v>
      </c>
      <c r="J119" s="158">
        <f>ROUND($D119*(1-INDEX(discounts[#All],MATCH($O119,discounts[[#All],[Discount Level]],0),MATCH(lettershopBuskroPricing[[#Headers],[≥ 35,000]],lettershopBuskroPricing[[#Headers],[≥ 1]:[≥ 150,000]],0))),2)</f>
        <v>36.6</v>
      </c>
      <c r="K119" s="158">
        <f>ROUND($D119*(1-INDEX(discounts[#All],MATCH($O119,discounts[[#All],[Discount Level]],0),MATCH(lettershopBuskroPricing[[#Headers],[≥ 50,000]],lettershopBuskroPricing[[#Headers],[≥ 1]:[≥ 150,000]],0))),2)</f>
        <v>33.979999999999997</v>
      </c>
      <c r="L119" s="158">
        <f>ROUND($D119*(1-INDEX(discounts[#All],MATCH($O119,discounts[[#All],[Discount Level]],0),MATCH(lettershopBuskroPricing[[#Headers],[≥ 75,000]],lettershopBuskroPricing[[#Headers],[≥ 1]:[≥ 150,000]],0))),2)</f>
        <v>31.37</v>
      </c>
      <c r="M119" s="158">
        <f>ROUND($D119*(1-INDEX(discounts[#All],MATCH($O119,discounts[[#All],[Discount Level]],0),MATCH(lettershopBuskroPricing[[#Headers],[≥ 100,000]],lettershopBuskroPricing[[#Headers],[≥ 1]:[≥ 150,000]],0))),2)</f>
        <v>30.06</v>
      </c>
      <c r="N119" s="158">
        <f>ROUND($D119*(1-INDEX(discounts[#All],MATCH($O119,discounts[[#All],[Discount Level]],0),MATCH(lettershopBuskroPricing[[#Headers],[≥ 150,000]],lettershopBuskroPricing[[#Headers],[≥ 1]:[≥ 150,000]],0))),2)</f>
        <v>28.75</v>
      </c>
      <c r="O119" s="179" t="s">
        <v>425</v>
      </c>
    </row>
    <row r="120" spans="1:15" ht="27" customHeight="1" x14ac:dyDescent="0.25">
      <c r="A120" s="144" t="s">
        <v>466</v>
      </c>
      <c r="B120" s="144" t="s">
        <v>472</v>
      </c>
      <c r="C120" s="151">
        <v>55</v>
      </c>
      <c r="D120" s="158">
        <v>52.28</v>
      </c>
      <c r="E120" s="158">
        <f>ROUND($D120*(1-INDEX(discounts[#All],MATCH($O120,discounts[[#All],[Discount Level]],0),MATCH(lettershopBuskroPricing[[#Headers],[≥ 5,000]],lettershopBuskroPricing[[#Headers],[≥ 1]:[≥ 150,000]],0))),2)</f>
        <v>48.36</v>
      </c>
      <c r="F120" s="158">
        <f>ROUND($D120*(1-INDEX(discounts[#All],MATCH($O120,discounts[[#All],[Discount Level]],0),MATCH(lettershopBuskroPricing[[#Headers],[≥ 10,000]],lettershopBuskroPricing[[#Headers],[≥ 1]:[≥ 150,000]],0))),2)</f>
        <v>45.75</v>
      </c>
      <c r="G120" s="158">
        <f>ROUND($D120*(1-INDEX(discounts[#All],MATCH($O120,discounts[[#All],[Discount Level]],0),MATCH(lettershopBuskroPricing[[#Headers],[≥ 15,000]],lettershopBuskroPricing[[#Headers],[≥ 1]:[≥ 150,000]],0))),2)</f>
        <v>43.13</v>
      </c>
      <c r="H120" s="158">
        <f>ROUND($D120*(1-INDEX(discounts[#All],MATCH($O120,discounts[[#All],[Discount Level]],0),MATCH(lettershopBuskroPricing[[#Headers],[≥ 20,000]],lettershopBuskroPricing[[#Headers],[≥ 1]:[≥ 150,000]],0))),2)</f>
        <v>41.82</v>
      </c>
      <c r="I120" s="158">
        <f>ROUND($D120*(1-INDEX(discounts[#All],MATCH($O120,discounts[[#All],[Discount Level]],0),MATCH(lettershopBuskroPricing[[#Headers],[≥ 25,000]],lettershopBuskroPricing[[#Headers],[≥ 1]:[≥ 150,000]],0))),2)</f>
        <v>39.21</v>
      </c>
      <c r="J120" s="158">
        <f>ROUND($D120*(1-INDEX(discounts[#All],MATCH($O120,discounts[[#All],[Discount Level]],0),MATCH(lettershopBuskroPricing[[#Headers],[≥ 35,000]],lettershopBuskroPricing[[#Headers],[≥ 1]:[≥ 150,000]],0))),2)</f>
        <v>36.6</v>
      </c>
      <c r="K120" s="158">
        <f>ROUND($D120*(1-INDEX(discounts[#All],MATCH($O120,discounts[[#All],[Discount Level]],0),MATCH(lettershopBuskroPricing[[#Headers],[≥ 50,000]],lettershopBuskroPricing[[#Headers],[≥ 1]:[≥ 150,000]],0))),2)</f>
        <v>33.979999999999997</v>
      </c>
      <c r="L120" s="158">
        <f>ROUND($D120*(1-INDEX(discounts[#All],MATCH($O120,discounts[[#All],[Discount Level]],0),MATCH(lettershopBuskroPricing[[#Headers],[≥ 75,000]],lettershopBuskroPricing[[#Headers],[≥ 1]:[≥ 150,000]],0))),2)</f>
        <v>31.37</v>
      </c>
      <c r="M120" s="158">
        <f>ROUND($D120*(1-INDEX(discounts[#All],MATCH($O120,discounts[[#All],[Discount Level]],0),MATCH(lettershopBuskroPricing[[#Headers],[≥ 100,000]],lettershopBuskroPricing[[#Headers],[≥ 1]:[≥ 150,000]],0))),2)</f>
        <v>30.06</v>
      </c>
      <c r="N120" s="158">
        <f>ROUND($D120*(1-INDEX(discounts[#All],MATCH($O120,discounts[[#All],[Discount Level]],0),MATCH(lettershopBuskroPricing[[#Headers],[≥ 150,000]],lettershopBuskroPricing[[#Headers],[≥ 1]:[≥ 150,000]],0))),2)</f>
        <v>28.75</v>
      </c>
      <c r="O120" s="179" t="s">
        <v>425</v>
      </c>
    </row>
    <row r="121" spans="1:15" ht="27" customHeight="1" x14ac:dyDescent="0.25">
      <c r="A121" s="144" t="s">
        <v>466</v>
      </c>
      <c r="B121" s="144" t="s">
        <v>473</v>
      </c>
      <c r="C121" s="151">
        <v>60</v>
      </c>
      <c r="D121" s="158">
        <v>68.16</v>
      </c>
      <c r="E121" s="158">
        <f>ROUND($D121*(1-INDEX(discounts[#All],MATCH($O121,discounts[[#All],[Discount Level]],0),MATCH(lettershopBuskroPricing[[#Headers],[≥ 5,000]],lettershopBuskroPricing[[#Headers],[≥ 1]:[≥ 150,000]],0))),2)</f>
        <v>63.05</v>
      </c>
      <c r="F121" s="158">
        <f>ROUND($D121*(1-INDEX(discounts[#All],MATCH($O121,discounts[[#All],[Discount Level]],0),MATCH(lettershopBuskroPricing[[#Headers],[≥ 10,000]],lettershopBuskroPricing[[#Headers],[≥ 1]:[≥ 150,000]],0))),2)</f>
        <v>59.64</v>
      </c>
      <c r="G121" s="158">
        <f>ROUND($D121*(1-INDEX(discounts[#All],MATCH($O121,discounts[[#All],[Discount Level]],0),MATCH(lettershopBuskroPricing[[#Headers],[≥ 15,000]],lettershopBuskroPricing[[#Headers],[≥ 1]:[≥ 150,000]],0))),2)</f>
        <v>56.23</v>
      </c>
      <c r="H121" s="158">
        <f>ROUND($D121*(1-INDEX(discounts[#All],MATCH($O121,discounts[[#All],[Discount Level]],0),MATCH(lettershopBuskroPricing[[#Headers],[≥ 20,000]],lettershopBuskroPricing[[#Headers],[≥ 1]:[≥ 150,000]],0))),2)</f>
        <v>54.53</v>
      </c>
      <c r="I121" s="158">
        <f>ROUND($D121*(1-INDEX(discounts[#All],MATCH($O121,discounts[[#All],[Discount Level]],0),MATCH(lettershopBuskroPricing[[#Headers],[≥ 25,000]],lettershopBuskroPricing[[#Headers],[≥ 1]:[≥ 150,000]],0))),2)</f>
        <v>51.12</v>
      </c>
      <c r="J121" s="158">
        <f>ROUND($D121*(1-INDEX(discounts[#All],MATCH($O121,discounts[[#All],[Discount Level]],0),MATCH(lettershopBuskroPricing[[#Headers],[≥ 35,000]],lettershopBuskroPricing[[#Headers],[≥ 1]:[≥ 150,000]],0))),2)</f>
        <v>47.71</v>
      </c>
      <c r="K121" s="158">
        <f>ROUND($D121*(1-INDEX(discounts[#All],MATCH($O121,discounts[[#All],[Discount Level]],0),MATCH(lettershopBuskroPricing[[#Headers],[≥ 50,000]],lettershopBuskroPricing[[#Headers],[≥ 1]:[≥ 150,000]],0))),2)</f>
        <v>44.3</v>
      </c>
      <c r="L121" s="158">
        <f>ROUND($D121*(1-INDEX(discounts[#All],MATCH($O121,discounts[[#All],[Discount Level]],0),MATCH(lettershopBuskroPricing[[#Headers],[≥ 75,000]],lettershopBuskroPricing[[#Headers],[≥ 1]:[≥ 150,000]],0))),2)</f>
        <v>40.9</v>
      </c>
      <c r="M121" s="158">
        <f>ROUND($D121*(1-INDEX(discounts[#All],MATCH($O121,discounts[[#All],[Discount Level]],0),MATCH(lettershopBuskroPricing[[#Headers],[≥ 100,000]],lettershopBuskroPricing[[#Headers],[≥ 1]:[≥ 150,000]],0))),2)</f>
        <v>39.19</v>
      </c>
      <c r="N121" s="158">
        <f>ROUND($D121*(1-INDEX(discounts[#All],MATCH($O121,discounts[[#All],[Discount Level]],0),MATCH(lettershopBuskroPricing[[#Headers],[≥ 150,000]],lettershopBuskroPricing[[#Headers],[≥ 1]:[≥ 150,000]],0))),2)</f>
        <v>37.49</v>
      </c>
      <c r="O121" s="179" t="s">
        <v>425</v>
      </c>
    </row>
    <row r="122" spans="1:15" ht="27" customHeight="1" x14ac:dyDescent="0.25">
      <c r="A122" s="144" t="s">
        <v>466</v>
      </c>
      <c r="B122" s="144" t="s">
        <v>474</v>
      </c>
      <c r="C122" s="151">
        <v>65</v>
      </c>
      <c r="D122" s="158">
        <v>94.3</v>
      </c>
      <c r="E122" s="158">
        <f>ROUND($D122*(1-INDEX(discounts[#All],MATCH($O122,discounts[[#All],[Discount Level]],0),MATCH(lettershopBuskroPricing[[#Headers],[≥ 5,000]],lettershopBuskroPricing[[#Headers],[≥ 1]:[≥ 150,000]],0))),2)</f>
        <v>87.23</v>
      </c>
      <c r="F122" s="158">
        <f>ROUND($D122*(1-INDEX(discounts[#All],MATCH($O122,discounts[[#All],[Discount Level]],0),MATCH(lettershopBuskroPricing[[#Headers],[≥ 10,000]],lettershopBuskroPricing[[#Headers],[≥ 1]:[≥ 150,000]],0))),2)</f>
        <v>82.51</v>
      </c>
      <c r="G122" s="158">
        <f>ROUND($D122*(1-INDEX(discounts[#All],MATCH($O122,discounts[[#All],[Discount Level]],0),MATCH(lettershopBuskroPricing[[#Headers],[≥ 15,000]],lettershopBuskroPricing[[#Headers],[≥ 1]:[≥ 150,000]],0))),2)</f>
        <v>77.8</v>
      </c>
      <c r="H122" s="158">
        <f>ROUND($D122*(1-INDEX(discounts[#All],MATCH($O122,discounts[[#All],[Discount Level]],0),MATCH(lettershopBuskroPricing[[#Headers],[≥ 20,000]],lettershopBuskroPricing[[#Headers],[≥ 1]:[≥ 150,000]],0))),2)</f>
        <v>75.44</v>
      </c>
      <c r="I122" s="158">
        <f>ROUND($D122*(1-INDEX(discounts[#All],MATCH($O122,discounts[[#All],[Discount Level]],0),MATCH(lettershopBuskroPricing[[#Headers],[≥ 25,000]],lettershopBuskroPricing[[#Headers],[≥ 1]:[≥ 150,000]],0))),2)</f>
        <v>70.73</v>
      </c>
      <c r="J122" s="158">
        <f>ROUND($D122*(1-INDEX(discounts[#All],MATCH($O122,discounts[[#All],[Discount Level]],0),MATCH(lettershopBuskroPricing[[#Headers],[≥ 35,000]],lettershopBuskroPricing[[#Headers],[≥ 1]:[≥ 150,000]],0))),2)</f>
        <v>66.010000000000005</v>
      </c>
      <c r="K122" s="158">
        <f>ROUND($D122*(1-INDEX(discounts[#All],MATCH($O122,discounts[[#All],[Discount Level]],0),MATCH(lettershopBuskroPricing[[#Headers],[≥ 50,000]],lettershopBuskroPricing[[#Headers],[≥ 1]:[≥ 150,000]],0))),2)</f>
        <v>61.3</v>
      </c>
      <c r="L122" s="158">
        <f>ROUND($D122*(1-INDEX(discounts[#All],MATCH($O122,discounts[[#All],[Discount Level]],0),MATCH(lettershopBuskroPricing[[#Headers],[≥ 75,000]],lettershopBuskroPricing[[#Headers],[≥ 1]:[≥ 150,000]],0))),2)</f>
        <v>56.58</v>
      </c>
      <c r="M122" s="158">
        <f>ROUND($D122*(1-INDEX(discounts[#All],MATCH($O122,discounts[[#All],[Discount Level]],0),MATCH(lettershopBuskroPricing[[#Headers],[≥ 100,000]],lettershopBuskroPricing[[#Headers],[≥ 1]:[≥ 150,000]],0))),2)</f>
        <v>54.22</v>
      </c>
      <c r="N122" s="158">
        <f>ROUND($D122*(1-INDEX(discounts[#All],MATCH($O122,discounts[[#All],[Discount Level]],0),MATCH(lettershopBuskroPricing[[#Headers],[≥ 150,000]],lettershopBuskroPricing[[#Headers],[≥ 1]:[≥ 150,000]],0))),2)</f>
        <v>51.87</v>
      </c>
      <c r="O122" s="179" t="s">
        <v>425</v>
      </c>
    </row>
    <row r="123" spans="1:15" ht="27" customHeight="1" x14ac:dyDescent="0.25">
      <c r="A123" s="144" t="s">
        <v>475</v>
      </c>
      <c r="B123" s="144" t="s">
        <v>476</v>
      </c>
      <c r="C123" s="151">
        <v>25</v>
      </c>
      <c r="D123" s="158">
        <v>26.14</v>
      </c>
      <c r="E123" s="158">
        <f>ROUND($D123*(1-INDEX(discounts[#All],MATCH($O123,discounts[[#All],[Discount Level]],0),MATCH(lettershopBuskroPricing[[#Headers],[≥ 5,000]],lettershopBuskroPricing[[#Headers],[≥ 1]:[≥ 150,000]],0))),2)</f>
        <v>24.18</v>
      </c>
      <c r="F123" s="158">
        <f>ROUND($D123*(1-INDEX(discounts[#All],MATCH($O123,discounts[[#All],[Discount Level]],0),MATCH(lettershopBuskroPricing[[#Headers],[≥ 10,000]],lettershopBuskroPricing[[#Headers],[≥ 1]:[≥ 150,000]],0))),2)</f>
        <v>22.87</v>
      </c>
      <c r="G123" s="158">
        <f>ROUND($D123*(1-INDEX(discounts[#All],MATCH($O123,discounts[[#All],[Discount Level]],0),MATCH(lettershopBuskroPricing[[#Headers],[≥ 15,000]],lettershopBuskroPricing[[#Headers],[≥ 1]:[≥ 150,000]],0))),2)</f>
        <v>21.57</v>
      </c>
      <c r="H123" s="158">
        <f>ROUND($D123*(1-INDEX(discounts[#All],MATCH($O123,discounts[[#All],[Discount Level]],0),MATCH(lettershopBuskroPricing[[#Headers],[≥ 20,000]],lettershopBuskroPricing[[#Headers],[≥ 1]:[≥ 150,000]],0))),2)</f>
        <v>20.91</v>
      </c>
      <c r="I123" s="158">
        <f>ROUND($D123*(1-INDEX(discounts[#All],MATCH($O123,discounts[[#All],[Discount Level]],0),MATCH(lettershopBuskroPricing[[#Headers],[≥ 25,000]],lettershopBuskroPricing[[#Headers],[≥ 1]:[≥ 150,000]],0))),2)</f>
        <v>19.61</v>
      </c>
      <c r="J123" s="158">
        <f>ROUND($D123*(1-INDEX(discounts[#All],MATCH($O123,discounts[[#All],[Discount Level]],0),MATCH(lettershopBuskroPricing[[#Headers],[≥ 35,000]],lettershopBuskroPricing[[#Headers],[≥ 1]:[≥ 150,000]],0))),2)</f>
        <v>18.3</v>
      </c>
      <c r="K123" s="158">
        <f>ROUND($D123*(1-INDEX(discounts[#All],MATCH($O123,discounts[[#All],[Discount Level]],0),MATCH(lettershopBuskroPricing[[#Headers],[≥ 50,000]],lettershopBuskroPricing[[#Headers],[≥ 1]:[≥ 150,000]],0))),2)</f>
        <v>16.989999999999998</v>
      </c>
      <c r="L123" s="158">
        <f>ROUND($D123*(1-INDEX(discounts[#All],MATCH($O123,discounts[[#All],[Discount Level]],0),MATCH(lettershopBuskroPricing[[#Headers],[≥ 75,000]],lettershopBuskroPricing[[#Headers],[≥ 1]:[≥ 150,000]],0))),2)</f>
        <v>15.68</v>
      </c>
      <c r="M123" s="158">
        <f>ROUND($D123*(1-INDEX(discounts[#All],MATCH($O123,discounts[[#All],[Discount Level]],0),MATCH(lettershopBuskroPricing[[#Headers],[≥ 100,000]],lettershopBuskroPricing[[#Headers],[≥ 1]:[≥ 150,000]],0))),2)</f>
        <v>15.03</v>
      </c>
      <c r="N123" s="158">
        <f>ROUND($D123*(1-INDEX(discounts[#All],MATCH($O123,discounts[[#All],[Discount Level]],0),MATCH(lettershopBuskroPricing[[#Headers],[≥ 150,000]],lettershopBuskroPricing[[#Headers],[≥ 1]:[≥ 150,000]],0))),2)</f>
        <v>14.38</v>
      </c>
      <c r="O123" s="179" t="s">
        <v>425</v>
      </c>
    </row>
    <row r="124" spans="1:15" ht="27" customHeight="1" x14ac:dyDescent="0.25">
      <c r="A124" s="144" t="s">
        <v>477</v>
      </c>
      <c r="B124" s="144" t="s">
        <v>478</v>
      </c>
      <c r="C124" s="151">
        <v>25</v>
      </c>
      <c r="D124" s="158">
        <v>31.26</v>
      </c>
      <c r="E124" s="158">
        <f>ROUND($D124*(1-INDEX(discounts[#All],MATCH($O124,discounts[[#All],[Discount Level]],0),MATCH(lettershopBuskroPricing[[#Headers],[≥ 5,000]],lettershopBuskroPricing[[#Headers],[≥ 1]:[≥ 150,000]],0))),2)</f>
        <v>28.92</v>
      </c>
      <c r="F124" s="158">
        <f>ROUND($D124*(1-INDEX(discounts[#All],MATCH($O124,discounts[[#All],[Discount Level]],0),MATCH(lettershopBuskroPricing[[#Headers],[≥ 10,000]],lettershopBuskroPricing[[#Headers],[≥ 1]:[≥ 150,000]],0))),2)</f>
        <v>27.35</v>
      </c>
      <c r="G124" s="158">
        <f>ROUND($D124*(1-INDEX(discounts[#All],MATCH($O124,discounts[[#All],[Discount Level]],0),MATCH(lettershopBuskroPricing[[#Headers],[≥ 15,000]],lettershopBuskroPricing[[#Headers],[≥ 1]:[≥ 150,000]],0))),2)</f>
        <v>25.79</v>
      </c>
      <c r="H124" s="158">
        <f>ROUND($D124*(1-INDEX(discounts[#All],MATCH($O124,discounts[[#All],[Discount Level]],0),MATCH(lettershopBuskroPricing[[#Headers],[≥ 20,000]],lettershopBuskroPricing[[#Headers],[≥ 1]:[≥ 150,000]],0))),2)</f>
        <v>25.01</v>
      </c>
      <c r="I124" s="158">
        <f>ROUND($D124*(1-INDEX(discounts[#All],MATCH($O124,discounts[[#All],[Discount Level]],0),MATCH(lettershopBuskroPricing[[#Headers],[≥ 25,000]],lettershopBuskroPricing[[#Headers],[≥ 1]:[≥ 150,000]],0))),2)</f>
        <v>23.45</v>
      </c>
      <c r="J124" s="158">
        <f>ROUND($D124*(1-INDEX(discounts[#All],MATCH($O124,discounts[[#All],[Discount Level]],0),MATCH(lettershopBuskroPricing[[#Headers],[≥ 35,000]],lettershopBuskroPricing[[#Headers],[≥ 1]:[≥ 150,000]],0))),2)</f>
        <v>21.88</v>
      </c>
      <c r="K124" s="158">
        <f>ROUND($D124*(1-INDEX(discounts[#All],MATCH($O124,discounts[[#All],[Discount Level]],0),MATCH(lettershopBuskroPricing[[#Headers],[≥ 50,000]],lettershopBuskroPricing[[#Headers],[≥ 1]:[≥ 150,000]],0))),2)</f>
        <v>20.32</v>
      </c>
      <c r="L124" s="158">
        <f>ROUND($D124*(1-INDEX(discounts[#All],MATCH($O124,discounts[[#All],[Discount Level]],0),MATCH(lettershopBuskroPricing[[#Headers],[≥ 75,000]],lettershopBuskroPricing[[#Headers],[≥ 1]:[≥ 150,000]],0))),2)</f>
        <v>18.760000000000002</v>
      </c>
      <c r="M124" s="158">
        <f>ROUND($D124*(1-INDEX(discounts[#All],MATCH($O124,discounts[[#All],[Discount Level]],0),MATCH(lettershopBuskroPricing[[#Headers],[≥ 100,000]],lettershopBuskroPricing[[#Headers],[≥ 1]:[≥ 150,000]],0))),2)</f>
        <v>17.97</v>
      </c>
      <c r="N124" s="158">
        <f>ROUND($D124*(1-INDEX(discounts[#All],MATCH($O124,discounts[[#All],[Discount Level]],0),MATCH(lettershopBuskroPricing[[#Headers],[≥ 150,000]],lettershopBuskroPricing[[#Headers],[≥ 1]:[≥ 150,000]],0))),2)</f>
        <v>17.190000000000001</v>
      </c>
      <c r="O124" s="179" t="s">
        <v>425</v>
      </c>
    </row>
    <row r="126" spans="1:15" ht="27" customHeight="1" x14ac:dyDescent="0.25">
      <c r="A126" s="146" t="s">
        <v>479</v>
      </c>
      <c r="B126" s="146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</row>
    <row r="127" spans="1:15" s="11" customFormat="1" ht="27" customHeight="1" x14ac:dyDescent="0.25">
      <c r="A127" s="137" t="s">
        <v>276</v>
      </c>
      <c r="B127" s="137" t="s">
        <v>277</v>
      </c>
      <c r="C127" s="138" t="s">
        <v>412</v>
      </c>
      <c r="D127" s="155" t="s">
        <v>367</v>
      </c>
      <c r="E127" s="155" t="s">
        <v>413</v>
      </c>
      <c r="F127" s="155" t="s">
        <v>414</v>
      </c>
      <c r="G127" s="155" t="s">
        <v>415</v>
      </c>
      <c r="H127" s="155" t="s">
        <v>416</v>
      </c>
      <c r="I127" s="155" t="s">
        <v>417</v>
      </c>
      <c r="J127" s="155" t="s">
        <v>418</v>
      </c>
      <c r="K127" s="155" t="s">
        <v>419</v>
      </c>
      <c r="L127" s="155" t="s">
        <v>420</v>
      </c>
      <c r="M127" s="155" t="s">
        <v>421</v>
      </c>
      <c r="N127" s="155" t="s">
        <v>422</v>
      </c>
      <c r="O127" s="155" t="s">
        <v>376</v>
      </c>
    </row>
    <row r="128" spans="1:15" ht="27" customHeight="1" x14ac:dyDescent="0.25">
      <c r="A128" s="144" t="s">
        <v>480</v>
      </c>
      <c r="B128" s="144" t="s">
        <v>481</v>
      </c>
      <c r="C128" s="151">
        <v>40</v>
      </c>
      <c r="D128" s="158">
        <v>42.03</v>
      </c>
      <c r="E128" s="158">
        <f>ROUND($D128*(1-INDEX(discounts[#All],MATCH($O128,discounts[[#All],[Discount Level]],0),MATCH(lettershopInsertFoldPricing[[#Headers],[≥ 5,000]],lettershopInsertFoldPricing[[#Headers],[≥ 1]:[≥ 150,000]],0))),2)</f>
        <v>38.880000000000003</v>
      </c>
      <c r="F128" s="158">
        <f>ROUND($D128*(1-INDEX(discounts[#All],MATCH($O128,discounts[[#All],[Discount Level]],0),MATCH(lettershopInsertFoldPricing[[#Headers],[≥ 10,000]],lettershopInsertFoldPricing[[#Headers],[≥ 1]:[≥ 150,000]],0))),2)</f>
        <v>36.78</v>
      </c>
      <c r="G128" s="158">
        <f>ROUND($D128*(1-INDEX(discounts[#All],MATCH($O128,discounts[[#All],[Discount Level]],0),MATCH(lettershopInsertFoldPricing[[#Headers],[≥ 15,000]],lettershopInsertFoldPricing[[#Headers],[≥ 1]:[≥ 150,000]],0))),2)</f>
        <v>34.67</v>
      </c>
      <c r="H128" s="158">
        <f>ROUND($D128*(1-INDEX(discounts[#All],MATCH($O128,discounts[[#All],[Discount Level]],0),MATCH(lettershopInsertFoldPricing[[#Headers],[≥ 20,000]],lettershopInsertFoldPricing[[#Headers],[≥ 1]:[≥ 150,000]],0))),2)</f>
        <v>33.619999999999997</v>
      </c>
      <c r="I128" s="158">
        <f>ROUND($D128*(1-INDEX(discounts[#All],MATCH($O128,discounts[[#All],[Discount Level]],0),MATCH(lettershopInsertFoldPricing[[#Headers],[≥ 25,000]],lettershopInsertFoldPricing[[#Headers],[≥ 1]:[≥ 150,000]],0))),2)</f>
        <v>32.57</v>
      </c>
      <c r="J128" s="158">
        <f>ROUND($D128*(1-INDEX(discounts[#All],MATCH($O128,discounts[[#All],[Discount Level]],0),MATCH(lettershopInsertFoldPricing[[#Headers],[≥ 35,000]],lettershopInsertFoldPricing[[#Headers],[≥ 1]:[≥ 150,000]],0))),2)</f>
        <v>31.52</v>
      </c>
      <c r="K128" s="158">
        <f>ROUND($D128*(1-INDEX(discounts[#All],MATCH($O128,discounts[[#All],[Discount Level]],0),MATCH(lettershopInsertFoldPricing[[#Headers],[≥ 50,000]],lettershopInsertFoldPricing[[#Headers],[≥ 1]:[≥ 150,000]],0))),2)</f>
        <v>30.47</v>
      </c>
      <c r="L128" s="158">
        <f>ROUND($D128*(1-INDEX(discounts[#All],MATCH($O128,discounts[[#All],[Discount Level]],0),MATCH(lettershopInsertFoldPricing[[#Headers],[≥ 75,000]],lettershopInsertFoldPricing[[#Headers],[≥ 1]:[≥ 150,000]],0))),2)</f>
        <v>29.42</v>
      </c>
      <c r="M128" s="158">
        <f>ROUND($D128*(1-INDEX(discounts[#All],MATCH($O128,discounts[[#All],[Discount Level]],0),MATCH(lettershopInsertFoldPricing[[#Headers],[≥ 100,000]],lettershopInsertFoldPricing[[#Headers],[≥ 1]:[≥ 150,000]],0))),2)</f>
        <v>28.37</v>
      </c>
      <c r="N128" s="158">
        <f>ROUND($D128*(1-INDEX(discounts[#All],MATCH($O128,discounts[[#All],[Discount Level]],0),MATCH(lettershopInsertFoldPricing[[#Headers],[≥ 150,000]],lettershopInsertFoldPricing[[#Headers],[≥ 1]:[≥ 150,000]],0))),2)</f>
        <v>27.32</v>
      </c>
      <c r="O128" s="16" t="s">
        <v>482</v>
      </c>
    </row>
    <row r="129" spans="1:15" ht="27" customHeight="1" x14ac:dyDescent="0.25">
      <c r="A129" s="144" t="s">
        <v>480</v>
      </c>
      <c r="B129" s="144" t="s">
        <v>483</v>
      </c>
      <c r="C129" s="151">
        <v>42.5</v>
      </c>
      <c r="D129" s="158">
        <v>44.59</v>
      </c>
      <c r="E129" s="158">
        <f>ROUND($D129*(1-INDEX(discounts[#All],MATCH($O129,discounts[[#All],[Discount Level]],0),MATCH(lettershopInsertFoldPricing[[#Headers],[≥ 5,000]],lettershopInsertFoldPricing[[#Headers],[≥ 1]:[≥ 150,000]],0))),2)</f>
        <v>41.25</v>
      </c>
      <c r="F129" s="158">
        <f>ROUND($D129*(1-INDEX(discounts[#All],MATCH($O129,discounts[[#All],[Discount Level]],0),MATCH(lettershopInsertFoldPricing[[#Headers],[≥ 10,000]],lettershopInsertFoldPricing[[#Headers],[≥ 1]:[≥ 150,000]],0))),2)</f>
        <v>39.020000000000003</v>
      </c>
      <c r="G129" s="158">
        <f>ROUND($D129*(1-INDEX(discounts[#All],MATCH($O129,discounts[[#All],[Discount Level]],0),MATCH(lettershopInsertFoldPricing[[#Headers],[≥ 15,000]],lettershopInsertFoldPricing[[#Headers],[≥ 1]:[≥ 150,000]],0))),2)</f>
        <v>36.79</v>
      </c>
      <c r="H129" s="158">
        <f>ROUND($D129*(1-INDEX(discounts[#All],MATCH($O129,discounts[[#All],[Discount Level]],0),MATCH(lettershopInsertFoldPricing[[#Headers],[≥ 20,000]],lettershopInsertFoldPricing[[#Headers],[≥ 1]:[≥ 150,000]],0))),2)</f>
        <v>35.67</v>
      </c>
      <c r="I129" s="158">
        <f>ROUND($D129*(1-INDEX(discounts[#All],MATCH($O129,discounts[[#All],[Discount Level]],0),MATCH(lettershopInsertFoldPricing[[#Headers],[≥ 25,000]],lettershopInsertFoldPricing[[#Headers],[≥ 1]:[≥ 150,000]],0))),2)</f>
        <v>34.56</v>
      </c>
      <c r="J129" s="158">
        <f>ROUND($D129*(1-INDEX(discounts[#All],MATCH($O129,discounts[[#All],[Discount Level]],0),MATCH(lettershopInsertFoldPricing[[#Headers],[≥ 35,000]],lettershopInsertFoldPricing[[#Headers],[≥ 1]:[≥ 150,000]],0))),2)</f>
        <v>33.44</v>
      </c>
      <c r="K129" s="158">
        <f>ROUND($D129*(1-INDEX(discounts[#All],MATCH($O129,discounts[[#All],[Discount Level]],0),MATCH(lettershopInsertFoldPricing[[#Headers],[≥ 50,000]],lettershopInsertFoldPricing[[#Headers],[≥ 1]:[≥ 150,000]],0))),2)</f>
        <v>32.33</v>
      </c>
      <c r="L129" s="158">
        <f>ROUND($D129*(1-INDEX(discounts[#All],MATCH($O129,discounts[[#All],[Discount Level]],0),MATCH(lettershopInsertFoldPricing[[#Headers],[≥ 75,000]],lettershopInsertFoldPricing[[#Headers],[≥ 1]:[≥ 150,000]],0))),2)</f>
        <v>31.21</v>
      </c>
      <c r="M129" s="158">
        <f>ROUND($D129*(1-INDEX(discounts[#All],MATCH($O129,discounts[[#All],[Discount Level]],0),MATCH(lettershopInsertFoldPricing[[#Headers],[≥ 100,000]],lettershopInsertFoldPricing[[#Headers],[≥ 1]:[≥ 150,000]],0))),2)</f>
        <v>30.1</v>
      </c>
      <c r="N129" s="158">
        <f>ROUND($D129*(1-INDEX(discounts[#All],MATCH($O129,discounts[[#All],[Discount Level]],0),MATCH(lettershopInsertFoldPricing[[#Headers],[≥ 150,000]],lettershopInsertFoldPricing[[#Headers],[≥ 1]:[≥ 150,000]],0))),2)</f>
        <v>28.98</v>
      </c>
      <c r="O129" s="16" t="s">
        <v>482</v>
      </c>
    </row>
    <row r="130" spans="1:15" ht="27" customHeight="1" x14ac:dyDescent="0.25">
      <c r="A130" s="144" t="s">
        <v>480</v>
      </c>
      <c r="B130" s="144" t="s">
        <v>484</v>
      </c>
      <c r="C130" s="151">
        <v>45</v>
      </c>
      <c r="D130" s="158">
        <v>47.15</v>
      </c>
      <c r="E130" s="158">
        <f>ROUND($D130*(1-INDEX(discounts[#All],MATCH($O130,discounts[[#All],[Discount Level]],0),MATCH(lettershopInsertFoldPricing[[#Headers],[≥ 5,000]],lettershopInsertFoldPricing[[#Headers],[≥ 1]:[≥ 150,000]],0))),2)</f>
        <v>43.61</v>
      </c>
      <c r="F130" s="158">
        <f>ROUND($D130*(1-INDEX(discounts[#All],MATCH($O130,discounts[[#All],[Discount Level]],0),MATCH(lettershopInsertFoldPricing[[#Headers],[≥ 10,000]],lettershopInsertFoldPricing[[#Headers],[≥ 1]:[≥ 150,000]],0))),2)</f>
        <v>41.26</v>
      </c>
      <c r="G130" s="158">
        <f>ROUND($D130*(1-INDEX(discounts[#All],MATCH($O130,discounts[[#All],[Discount Level]],0),MATCH(lettershopInsertFoldPricing[[#Headers],[≥ 15,000]],lettershopInsertFoldPricing[[#Headers],[≥ 1]:[≥ 150,000]],0))),2)</f>
        <v>38.9</v>
      </c>
      <c r="H130" s="158">
        <f>ROUND($D130*(1-INDEX(discounts[#All],MATCH($O130,discounts[[#All],[Discount Level]],0),MATCH(lettershopInsertFoldPricing[[#Headers],[≥ 20,000]],lettershopInsertFoldPricing[[#Headers],[≥ 1]:[≥ 150,000]],0))),2)</f>
        <v>37.72</v>
      </c>
      <c r="I130" s="158">
        <f>ROUND($D130*(1-INDEX(discounts[#All],MATCH($O130,discounts[[#All],[Discount Level]],0),MATCH(lettershopInsertFoldPricing[[#Headers],[≥ 25,000]],lettershopInsertFoldPricing[[#Headers],[≥ 1]:[≥ 150,000]],0))),2)</f>
        <v>36.54</v>
      </c>
      <c r="J130" s="158">
        <f>ROUND($D130*(1-INDEX(discounts[#All],MATCH($O130,discounts[[#All],[Discount Level]],0),MATCH(lettershopInsertFoldPricing[[#Headers],[≥ 35,000]],lettershopInsertFoldPricing[[#Headers],[≥ 1]:[≥ 150,000]],0))),2)</f>
        <v>35.36</v>
      </c>
      <c r="K130" s="158">
        <f>ROUND($D130*(1-INDEX(discounts[#All],MATCH($O130,discounts[[#All],[Discount Level]],0),MATCH(lettershopInsertFoldPricing[[#Headers],[≥ 50,000]],lettershopInsertFoldPricing[[#Headers],[≥ 1]:[≥ 150,000]],0))),2)</f>
        <v>34.18</v>
      </c>
      <c r="L130" s="158">
        <f>ROUND($D130*(1-INDEX(discounts[#All],MATCH($O130,discounts[[#All],[Discount Level]],0),MATCH(lettershopInsertFoldPricing[[#Headers],[≥ 75,000]],lettershopInsertFoldPricing[[#Headers],[≥ 1]:[≥ 150,000]],0))),2)</f>
        <v>33.01</v>
      </c>
      <c r="M130" s="158">
        <f>ROUND($D130*(1-INDEX(discounts[#All],MATCH($O130,discounts[[#All],[Discount Level]],0),MATCH(lettershopInsertFoldPricing[[#Headers],[≥ 100,000]],lettershopInsertFoldPricing[[#Headers],[≥ 1]:[≥ 150,000]],0))),2)</f>
        <v>31.83</v>
      </c>
      <c r="N130" s="158">
        <f>ROUND($D130*(1-INDEX(discounts[#All],MATCH($O130,discounts[[#All],[Discount Level]],0),MATCH(lettershopInsertFoldPricing[[#Headers],[≥ 150,000]],lettershopInsertFoldPricing[[#Headers],[≥ 1]:[≥ 150,000]],0))),2)</f>
        <v>30.65</v>
      </c>
      <c r="O130" s="16" t="s">
        <v>482</v>
      </c>
    </row>
    <row r="131" spans="1:15" ht="27" customHeight="1" x14ac:dyDescent="0.25">
      <c r="A131" s="144" t="s">
        <v>480</v>
      </c>
      <c r="B131" s="144" t="s">
        <v>485</v>
      </c>
      <c r="C131" s="151">
        <v>55</v>
      </c>
      <c r="D131" s="158">
        <v>47.15</v>
      </c>
      <c r="E131" s="158">
        <f>ROUND($D131*(1-INDEX(discounts[#All],MATCH($O131,discounts[[#All],[Discount Level]],0),MATCH(lettershopInsertFoldPricing[[#Headers],[≥ 5,000]],lettershopInsertFoldPricing[[#Headers],[≥ 1]:[≥ 150,000]],0))),2)</f>
        <v>43.61</v>
      </c>
      <c r="F131" s="158">
        <f>ROUND($D131*(1-INDEX(discounts[#All],MATCH($O131,discounts[[#All],[Discount Level]],0),MATCH(lettershopInsertFoldPricing[[#Headers],[≥ 10,000]],lettershopInsertFoldPricing[[#Headers],[≥ 1]:[≥ 150,000]],0))),2)</f>
        <v>41.26</v>
      </c>
      <c r="G131" s="158">
        <f>ROUND($D131*(1-INDEX(discounts[#All],MATCH($O131,discounts[[#All],[Discount Level]],0),MATCH(lettershopInsertFoldPricing[[#Headers],[≥ 15,000]],lettershopInsertFoldPricing[[#Headers],[≥ 1]:[≥ 150,000]],0))),2)</f>
        <v>38.9</v>
      </c>
      <c r="H131" s="158">
        <f>ROUND($D131*(1-INDEX(discounts[#All],MATCH($O131,discounts[[#All],[Discount Level]],0),MATCH(lettershopInsertFoldPricing[[#Headers],[≥ 20,000]],lettershopInsertFoldPricing[[#Headers],[≥ 1]:[≥ 150,000]],0))),2)</f>
        <v>37.72</v>
      </c>
      <c r="I131" s="158">
        <f>ROUND($D131*(1-INDEX(discounts[#All],MATCH($O131,discounts[[#All],[Discount Level]],0),MATCH(lettershopInsertFoldPricing[[#Headers],[≥ 25,000]],lettershopInsertFoldPricing[[#Headers],[≥ 1]:[≥ 150,000]],0))),2)</f>
        <v>36.54</v>
      </c>
      <c r="J131" s="158">
        <f>ROUND($D131*(1-INDEX(discounts[#All],MATCH($O131,discounts[[#All],[Discount Level]],0),MATCH(lettershopInsertFoldPricing[[#Headers],[≥ 35,000]],lettershopInsertFoldPricing[[#Headers],[≥ 1]:[≥ 150,000]],0))),2)</f>
        <v>35.36</v>
      </c>
      <c r="K131" s="158">
        <f>ROUND($D131*(1-INDEX(discounts[#All],MATCH($O131,discounts[[#All],[Discount Level]],0),MATCH(lettershopInsertFoldPricing[[#Headers],[≥ 50,000]],lettershopInsertFoldPricing[[#Headers],[≥ 1]:[≥ 150,000]],0))),2)</f>
        <v>34.18</v>
      </c>
      <c r="L131" s="158">
        <f>ROUND($D131*(1-INDEX(discounts[#All],MATCH($O131,discounts[[#All],[Discount Level]],0),MATCH(lettershopInsertFoldPricing[[#Headers],[≥ 75,000]],lettershopInsertFoldPricing[[#Headers],[≥ 1]:[≥ 150,000]],0))),2)</f>
        <v>33.01</v>
      </c>
      <c r="M131" s="158">
        <f>ROUND($D131*(1-INDEX(discounts[#All],MATCH($O131,discounts[[#All],[Discount Level]],0),MATCH(lettershopInsertFoldPricing[[#Headers],[≥ 100,000]],lettershopInsertFoldPricing[[#Headers],[≥ 1]:[≥ 150,000]],0))),2)</f>
        <v>31.83</v>
      </c>
      <c r="N131" s="158">
        <f>ROUND($D131*(1-INDEX(discounts[#All],MATCH($O131,discounts[[#All],[Discount Level]],0),MATCH(lettershopInsertFoldPricing[[#Headers],[≥ 150,000]],lettershopInsertFoldPricing[[#Headers],[≥ 1]:[≥ 150,000]],0))),2)</f>
        <v>30.65</v>
      </c>
      <c r="O131" s="16" t="s">
        <v>482</v>
      </c>
    </row>
    <row r="132" spans="1:15" ht="27" customHeight="1" x14ac:dyDescent="0.25">
      <c r="A132" s="144" t="s">
        <v>480</v>
      </c>
      <c r="B132" s="144" t="s">
        <v>486</v>
      </c>
      <c r="C132" s="151">
        <v>57.5</v>
      </c>
      <c r="D132" s="158">
        <v>49.71</v>
      </c>
      <c r="E132" s="158">
        <f>ROUND($D132*(1-INDEX(discounts[#All],MATCH($O132,discounts[[#All],[Discount Level]],0),MATCH(lettershopInsertFoldPricing[[#Headers],[≥ 5,000]],lettershopInsertFoldPricing[[#Headers],[≥ 1]:[≥ 150,000]],0))),2)</f>
        <v>45.98</v>
      </c>
      <c r="F132" s="158">
        <f>ROUND($D132*(1-INDEX(discounts[#All],MATCH($O132,discounts[[#All],[Discount Level]],0),MATCH(lettershopInsertFoldPricing[[#Headers],[≥ 10,000]],lettershopInsertFoldPricing[[#Headers],[≥ 1]:[≥ 150,000]],0))),2)</f>
        <v>43.5</v>
      </c>
      <c r="G132" s="158">
        <f>ROUND($D132*(1-INDEX(discounts[#All],MATCH($O132,discounts[[#All],[Discount Level]],0),MATCH(lettershopInsertFoldPricing[[#Headers],[≥ 15,000]],lettershopInsertFoldPricing[[#Headers],[≥ 1]:[≥ 150,000]],0))),2)</f>
        <v>41.01</v>
      </c>
      <c r="H132" s="158">
        <f>ROUND($D132*(1-INDEX(discounts[#All],MATCH($O132,discounts[[#All],[Discount Level]],0),MATCH(lettershopInsertFoldPricing[[#Headers],[≥ 20,000]],lettershopInsertFoldPricing[[#Headers],[≥ 1]:[≥ 150,000]],0))),2)</f>
        <v>39.770000000000003</v>
      </c>
      <c r="I132" s="158">
        <f>ROUND($D132*(1-INDEX(discounts[#All],MATCH($O132,discounts[[#All],[Discount Level]],0),MATCH(lettershopInsertFoldPricing[[#Headers],[≥ 25,000]],lettershopInsertFoldPricing[[#Headers],[≥ 1]:[≥ 150,000]],0))),2)</f>
        <v>38.53</v>
      </c>
      <c r="J132" s="158">
        <f>ROUND($D132*(1-INDEX(discounts[#All],MATCH($O132,discounts[[#All],[Discount Level]],0),MATCH(lettershopInsertFoldPricing[[#Headers],[≥ 35,000]],lettershopInsertFoldPricing[[#Headers],[≥ 1]:[≥ 150,000]],0))),2)</f>
        <v>37.28</v>
      </c>
      <c r="K132" s="158">
        <f>ROUND($D132*(1-INDEX(discounts[#All],MATCH($O132,discounts[[#All],[Discount Level]],0),MATCH(lettershopInsertFoldPricing[[#Headers],[≥ 50,000]],lettershopInsertFoldPricing[[#Headers],[≥ 1]:[≥ 150,000]],0))),2)</f>
        <v>36.04</v>
      </c>
      <c r="L132" s="158">
        <f>ROUND($D132*(1-INDEX(discounts[#All],MATCH($O132,discounts[[#All],[Discount Level]],0),MATCH(lettershopInsertFoldPricing[[#Headers],[≥ 75,000]],lettershopInsertFoldPricing[[#Headers],[≥ 1]:[≥ 150,000]],0))),2)</f>
        <v>34.799999999999997</v>
      </c>
      <c r="M132" s="158">
        <f>ROUND($D132*(1-INDEX(discounts[#All],MATCH($O132,discounts[[#All],[Discount Level]],0),MATCH(lettershopInsertFoldPricing[[#Headers],[≥ 100,000]],lettershopInsertFoldPricing[[#Headers],[≥ 1]:[≥ 150,000]],0))),2)</f>
        <v>33.549999999999997</v>
      </c>
      <c r="N132" s="158">
        <f>ROUND($D132*(1-INDEX(discounts[#All],MATCH($O132,discounts[[#All],[Discount Level]],0),MATCH(lettershopInsertFoldPricing[[#Headers],[≥ 150,000]],lettershopInsertFoldPricing[[#Headers],[≥ 1]:[≥ 150,000]],0))),2)</f>
        <v>32.31</v>
      </c>
      <c r="O132" s="16" t="s">
        <v>482</v>
      </c>
    </row>
    <row r="133" spans="1:15" ht="27" customHeight="1" x14ac:dyDescent="0.25">
      <c r="A133" s="144" t="s">
        <v>480</v>
      </c>
      <c r="B133" s="144" t="s">
        <v>487</v>
      </c>
      <c r="C133" s="151">
        <v>60</v>
      </c>
      <c r="D133" s="158">
        <v>52.28</v>
      </c>
      <c r="E133" s="158">
        <f>ROUND($D133*(1-INDEX(discounts[#All],MATCH($O133,discounts[[#All],[Discount Level]],0),MATCH(lettershopInsertFoldPricing[[#Headers],[≥ 5,000]],lettershopInsertFoldPricing[[#Headers],[≥ 1]:[≥ 150,000]],0))),2)</f>
        <v>48.36</v>
      </c>
      <c r="F133" s="158">
        <f>ROUND($D133*(1-INDEX(discounts[#All],MATCH($O133,discounts[[#All],[Discount Level]],0),MATCH(lettershopInsertFoldPricing[[#Headers],[≥ 10,000]],lettershopInsertFoldPricing[[#Headers],[≥ 1]:[≥ 150,000]],0))),2)</f>
        <v>45.75</v>
      </c>
      <c r="G133" s="158">
        <f>ROUND($D133*(1-INDEX(discounts[#All],MATCH($O133,discounts[[#All],[Discount Level]],0),MATCH(lettershopInsertFoldPricing[[#Headers],[≥ 15,000]],lettershopInsertFoldPricing[[#Headers],[≥ 1]:[≥ 150,000]],0))),2)</f>
        <v>43.13</v>
      </c>
      <c r="H133" s="158">
        <f>ROUND($D133*(1-INDEX(discounts[#All],MATCH($O133,discounts[[#All],[Discount Level]],0),MATCH(lettershopInsertFoldPricing[[#Headers],[≥ 20,000]],lettershopInsertFoldPricing[[#Headers],[≥ 1]:[≥ 150,000]],0))),2)</f>
        <v>41.82</v>
      </c>
      <c r="I133" s="158">
        <f>ROUND($D133*(1-INDEX(discounts[#All],MATCH($O133,discounts[[#All],[Discount Level]],0),MATCH(lettershopInsertFoldPricing[[#Headers],[≥ 25,000]],lettershopInsertFoldPricing[[#Headers],[≥ 1]:[≥ 150,000]],0))),2)</f>
        <v>40.520000000000003</v>
      </c>
      <c r="J133" s="158">
        <f>ROUND($D133*(1-INDEX(discounts[#All],MATCH($O133,discounts[[#All],[Discount Level]],0),MATCH(lettershopInsertFoldPricing[[#Headers],[≥ 35,000]],lettershopInsertFoldPricing[[#Headers],[≥ 1]:[≥ 150,000]],0))),2)</f>
        <v>39.21</v>
      </c>
      <c r="K133" s="158">
        <f>ROUND($D133*(1-INDEX(discounts[#All],MATCH($O133,discounts[[#All],[Discount Level]],0),MATCH(lettershopInsertFoldPricing[[#Headers],[≥ 50,000]],lettershopInsertFoldPricing[[#Headers],[≥ 1]:[≥ 150,000]],0))),2)</f>
        <v>37.9</v>
      </c>
      <c r="L133" s="158">
        <f>ROUND($D133*(1-INDEX(discounts[#All],MATCH($O133,discounts[[#All],[Discount Level]],0),MATCH(lettershopInsertFoldPricing[[#Headers],[≥ 75,000]],lettershopInsertFoldPricing[[#Headers],[≥ 1]:[≥ 150,000]],0))),2)</f>
        <v>36.6</v>
      </c>
      <c r="M133" s="158">
        <f>ROUND($D133*(1-INDEX(discounts[#All],MATCH($O133,discounts[[#All],[Discount Level]],0),MATCH(lettershopInsertFoldPricing[[#Headers],[≥ 100,000]],lettershopInsertFoldPricing[[#Headers],[≥ 1]:[≥ 150,000]],0))),2)</f>
        <v>35.29</v>
      </c>
      <c r="N133" s="158">
        <f>ROUND($D133*(1-INDEX(discounts[#All],MATCH($O133,discounts[[#All],[Discount Level]],0),MATCH(lettershopInsertFoldPricing[[#Headers],[≥ 150,000]],lettershopInsertFoldPricing[[#Headers],[≥ 1]:[≥ 150,000]],0))),2)</f>
        <v>33.979999999999997</v>
      </c>
      <c r="O133" s="16" t="s">
        <v>482</v>
      </c>
    </row>
    <row r="134" spans="1:15" ht="27" customHeight="1" x14ac:dyDescent="0.25">
      <c r="A134" s="144" t="s">
        <v>480</v>
      </c>
      <c r="B134" s="144" t="s">
        <v>488</v>
      </c>
      <c r="C134" s="151">
        <v>55</v>
      </c>
      <c r="D134" s="158">
        <v>57.4</v>
      </c>
      <c r="E134" s="158">
        <f>ROUND($D134*(1-INDEX(discounts[#All],MATCH($O134,discounts[[#All],[Discount Level]],0),MATCH(lettershopInsertFoldPricing[[#Headers],[≥ 5,000]],lettershopInsertFoldPricing[[#Headers],[≥ 1]:[≥ 150,000]],0))),2)</f>
        <v>53.1</v>
      </c>
      <c r="F134" s="158">
        <f>ROUND($D134*(1-INDEX(discounts[#All],MATCH($O134,discounts[[#All],[Discount Level]],0),MATCH(lettershopInsertFoldPricing[[#Headers],[≥ 10,000]],lettershopInsertFoldPricing[[#Headers],[≥ 1]:[≥ 150,000]],0))),2)</f>
        <v>50.23</v>
      </c>
      <c r="G134" s="158">
        <f>ROUND($D134*(1-INDEX(discounts[#All],MATCH($O134,discounts[[#All],[Discount Level]],0),MATCH(lettershopInsertFoldPricing[[#Headers],[≥ 15,000]],lettershopInsertFoldPricing[[#Headers],[≥ 1]:[≥ 150,000]],0))),2)</f>
        <v>47.36</v>
      </c>
      <c r="H134" s="158">
        <f>ROUND($D134*(1-INDEX(discounts[#All],MATCH($O134,discounts[[#All],[Discount Level]],0),MATCH(lettershopInsertFoldPricing[[#Headers],[≥ 20,000]],lettershopInsertFoldPricing[[#Headers],[≥ 1]:[≥ 150,000]],0))),2)</f>
        <v>45.92</v>
      </c>
      <c r="I134" s="158">
        <f>ROUND($D134*(1-INDEX(discounts[#All],MATCH($O134,discounts[[#All],[Discount Level]],0),MATCH(lettershopInsertFoldPricing[[#Headers],[≥ 25,000]],lettershopInsertFoldPricing[[#Headers],[≥ 1]:[≥ 150,000]],0))),2)</f>
        <v>44.49</v>
      </c>
      <c r="J134" s="158">
        <f>ROUND($D134*(1-INDEX(discounts[#All],MATCH($O134,discounts[[#All],[Discount Level]],0),MATCH(lettershopInsertFoldPricing[[#Headers],[≥ 35,000]],lettershopInsertFoldPricing[[#Headers],[≥ 1]:[≥ 150,000]],0))),2)</f>
        <v>43.05</v>
      </c>
      <c r="K134" s="158">
        <f>ROUND($D134*(1-INDEX(discounts[#All],MATCH($O134,discounts[[#All],[Discount Level]],0),MATCH(lettershopInsertFoldPricing[[#Headers],[≥ 50,000]],lettershopInsertFoldPricing[[#Headers],[≥ 1]:[≥ 150,000]],0))),2)</f>
        <v>41.62</v>
      </c>
      <c r="L134" s="158">
        <f>ROUND($D134*(1-INDEX(discounts[#All],MATCH($O134,discounts[[#All],[Discount Level]],0),MATCH(lettershopInsertFoldPricing[[#Headers],[≥ 75,000]],lettershopInsertFoldPricing[[#Headers],[≥ 1]:[≥ 150,000]],0))),2)</f>
        <v>40.18</v>
      </c>
      <c r="M134" s="158">
        <f>ROUND($D134*(1-INDEX(discounts[#All],MATCH($O134,discounts[[#All],[Discount Level]],0),MATCH(lettershopInsertFoldPricing[[#Headers],[≥ 100,000]],lettershopInsertFoldPricing[[#Headers],[≥ 1]:[≥ 150,000]],0))),2)</f>
        <v>38.75</v>
      </c>
      <c r="N134" s="158">
        <f>ROUND($D134*(1-INDEX(discounts[#All],MATCH($O134,discounts[[#All],[Discount Level]],0),MATCH(lettershopInsertFoldPricing[[#Headers],[≥ 150,000]],lettershopInsertFoldPricing[[#Headers],[≥ 1]:[≥ 150,000]],0))),2)</f>
        <v>37.31</v>
      </c>
      <c r="O134" s="16" t="s">
        <v>482</v>
      </c>
    </row>
    <row r="135" spans="1:15" ht="27" customHeight="1" x14ac:dyDescent="0.25">
      <c r="A135" s="144" t="s">
        <v>480</v>
      </c>
      <c r="B135" s="144" t="s">
        <v>489</v>
      </c>
      <c r="C135" s="151">
        <v>57.5</v>
      </c>
      <c r="D135" s="158">
        <v>62.53</v>
      </c>
      <c r="E135" s="158">
        <f>ROUND($D135*(1-INDEX(discounts[#All],MATCH($O135,discounts[[#All],[Discount Level]],0),MATCH(lettershopInsertFoldPricing[[#Headers],[≥ 5,000]],lettershopInsertFoldPricing[[#Headers],[≥ 1]:[≥ 150,000]],0))),2)</f>
        <v>57.84</v>
      </c>
      <c r="F135" s="158">
        <f>ROUND($D135*(1-INDEX(discounts[#All],MATCH($O135,discounts[[#All],[Discount Level]],0),MATCH(lettershopInsertFoldPricing[[#Headers],[≥ 10,000]],lettershopInsertFoldPricing[[#Headers],[≥ 1]:[≥ 150,000]],0))),2)</f>
        <v>54.71</v>
      </c>
      <c r="G135" s="158">
        <f>ROUND($D135*(1-INDEX(discounts[#All],MATCH($O135,discounts[[#All],[Discount Level]],0),MATCH(lettershopInsertFoldPricing[[#Headers],[≥ 15,000]],lettershopInsertFoldPricing[[#Headers],[≥ 1]:[≥ 150,000]],0))),2)</f>
        <v>51.59</v>
      </c>
      <c r="H135" s="158">
        <f>ROUND($D135*(1-INDEX(discounts[#All],MATCH($O135,discounts[[#All],[Discount Level]],0),MATCH(lettershopInsertFoldPricing[[#Headers],[≥ 20,000]],lettershopInsertFoldPricing[[#Headers],[≥ 1]:[≥ 150,000]],0))),2)</f>
        <v>50.02</v>
      </c>
      <c r="I135" s="158">
        <f>ROUND($D135*(1-INDEX(discounts[#All],MATCH($O135,discounts[[#All],[Discount Level]],0),MATCH(lettershopInsertFoldPricing[[#Headers],[≥ 25,000]],lettershopInsertFoldPricing[[#Headers],[≥ 1]:[≥ 150,000]],0))),2)</f>
        <v>48.46</v>
      </c>
      <c r="J135" s="158">
        <f>ROUND($D135*(1-INDEX(discounts[#All],MATCH($O135,discounts[[#All],[Discount Level]],0),MATCH(lettershopInsertFoldPricing[[#Headers],[≥ 35,000]],lettershopInsertFoldPricing[[#Headers],[≥ 1]:[≥ 150,000]],0))),2)</f>
        <v>46.9</v>
      </c>
      <c r="K135" s="158">
        <f>ROUND($D135*(1-INDEX(discounts[#All],MATCH($O135,discounts[[#All],[Discount Level]],0),MATCH(lettershopInsertFoldPricing[[#Headers],[≥ 50,000]],lettershopInsertFoldPricing[[#Headers],[≥ 1]:[≥ 150,000]],0))),2)</f>
        <v>45.33</v>
      </c>
      <c r="L135" s="158">
        <f>ROUND($D135*(1-INDEX(discounts[#All],MATCH($O135,discounts[[#All],[Discount Level]],0),MATCH(lettershopInsertFoldPricing[[#Headers],[≥ 75,000]],lettershopInsertFoldPricing[[#Headers],[≥ 1]:[≥ 150,000]],0))),2)</f>
        <v>43.77</v>
      </c>
      <c r="M135" s="158">
        <f>ROUND($D135*(1-INDEX(discounts[#All],MATCH($O135,discounts[[#All],[Discount Level]],0),MATCH(lettershopInsertFoldPricing[[#Headers],[≥ 100,000]],lettershopInsertFoldPricing[[#Headers],[≥ 1]:[≥ 150,000]],0))),2)</f>
        <v>42.21</v>
      </c>
      <c r="N135" s="158">
        <f>ROUND($D135*(1-INDEX(discounts[#All],MATCH($O135,discounts[[#All],[Discount Level]],0),MATCH(lettershopInsertFoldPricing[[#Headers],[≥ 150,000]],lettershopInsertFoldPricing[[#Headers],[≥ 1]:[≥ 150,000]],0))),2)</f>
        <v>40.64</v>
      </c>
      <c r="O135" s="16" t="s">
        <v>482</v>
      </c>
    </row>
    <row r="136" spans="1:15" ht="27" customHeight="1" x14ac:dyDescent="0.25">
      <c r="A136" s="144" t="s">
        <v>480</v>
      </c>
      <c r="B136" s="144" t="s">
        <v>490</v>
      </c>
      <c r="C136" s="151">
        <v>60</v>
      </c>
      <c r="D136" s="158">
        <v>68.16</v>
      </c>
      <c r="E136" s="158">
        <f>ROUND($D136*(1-INDEX(discounts[#All],MATCH($O136,discounts[[#All],[Discount Level]],0),MATCH(lettershopInsertFoldPricing[[#Headers],[≥ 5,000]],lettershopInsertFoldPricing[[#Headers],[≥ 1]:[≥ 150,000]],0))),2)</f>
        <v>63.05</v>
      </c>
      <c r="F136" s="158">
        <f>ROUND($D136*(1-INDEX(discounts[#All],MATCH($O136,discounts[[#All],[Discount Level]],0),MATCH(lettershopInsertFoldPricing[[#Headers],[≥ 10,000]],lettershopInsertFoldPricing[[#Headers],[≥ 1]:[≥ 150,000]],0))),2)</f>
        <v>59.64</v>
      </c>
      <c r="G136" s="158">
        <f>ROUND($D136*(1-INDEX(discounts[#All],MATCH($O136,discounts[[#All],[Discount Level]],0),MATCH(lettershopInsertFoldPricing[[#Headers],[≥ 15,000]],lettershopInsertFoldPricing[[#Headers],[≥ 1]:[≥ 150,000]],0))),2)</f>
        <v>56.23</v>
      </c>
      <c r="H136" s="158">
        <f>ROUND($D136*(1-INDEX(discounts[#All],MATCH($O136,discounts[[#All],[Discount Level]],0),MATCH(lettershopInsertFoldPricing[[#Headers],[≥ 20,000]],lettershopInsertFoldPricing[[#Headers],[≥ 1]:[≥ 150,000]],0))),2)</f>
        <v>54.53</v>
      </c>
      <c r="I136" s="158">
        <f>ROUND($D136*(1-INDEX(discounts[#All],MATCH($O136,discounts[[#All],[Discount Level]],0),MATCH(lettershopInsertFoldPricing[[#Headers],[≥ 25,000]],lettershopInsertFoldPricing[[#Headers],[≥ 1]:[≥ 150,000]],0))),2)</f>
        <v>52.82</v>
      </c>
      <c r="J136" s="158">
        <f>ROUND($D136*(1-INDEX(discounts[#All],MATCH($O136,discounts[[#All],[Discount Level]],0),MATCH(lettershopInsertFoldPricing[[#Headers],[≥ 35,000]],lettershopInsertFoldPricing[[#Headers],[≥ 1]:[≥ 150,000]],0))),2)</f>
        <v>51.12</v>
      </c>
      <c r="K136" s="158">
        <f>ROUND($D136*(1-INDEX(discounts[#All],MATCH($O136,discounts[[#All],[Discount Level]],0),MATCH(lettershopInsertFoldPricing[[#Headers],[≥ 50,000]],lettershopInsertFoldPricing[[#Headers],[≥ 1]:[≥ 150,000]],0))),2)</f>
        <v>49.42</v>
      </c>
      <c r="L136" s="158">
        <f>ROUND($D136*(1-INDEX(discounts[#All],MATCH($O136,discounts[[#All],[Discount Level]],0),MATCH(lettershopInsertFoldPricing[[#Headers],[≥ 75,000]],lettershopInsertFoldPricing[[#Headers],[≥ 1]:[≥ 150,000]],0))),2)</f>
        <v>47.71</v>
      </c>
      <c r="M136" s="158">
        <f>ROUND($D136*(1-INDEX(discounts[#All],MATCH($O136,discounts[[#All],[Discount Level]],0),MATCH(lettershopInsertFoldPricing[[#Headers],[≥ 100,000]],lettershopInsertFoldPricing[[#Headers],[≥ 1]:[≥ 150,000]],0))),2)</f>
        <v>46.01</v>
      </c>
      <c r="N136" s="158">
        <f>ROUND($D136*(1-INDEX(discounts[#All],MATCH($O136,discounts[[#All],[Discount Level]],0),MATCH(lettershopInsertFoldPricing[[#Headers],[≥ 150,000]],lettershopInsertFoldPricing[[#Headers],[≥ 1]:[≥ 150,000]],0))),2)</f>
        <v>44.3</v>
      </c>
      <c r="O136" s="16" t="s">
        <v>482</v>
      </c>
    </row>
    <row r="137" spans="1:15" ht="27" customHeight="1" x14ac:dyDescent="0.25">
      <c r="A137" s="144" t="s">
        <v>491</v>
      </c>
      <c r="B137" s="144" t="s">
        <v>492</v>
      </c>
      <c r="C137" s="151">
        <v>40</v>
      </c>
      <c r="D137" s="158">
        <v>83.54</v>
      </c>
      <c r="E137" s="158">
        <f>ROUND($D137*(1-INDEX(discounts[#All],MATCH($O137,discounts[[#All],[Discount Level]],0),MATCH(lettershopInsertFoldPricing[[#Headers],[≥ 5,000]],lettershopInsertFoldPricing[[#Headers],[≥ 1]:[≥ 150,000]],0))),2)</f>
        <v>71.010000000000005</v>
      </c>
      <c r="F137" s="158">
        <f>ROUND($D137*(1-INDEX(discounts[#All],MATCH($O137,discounts[[#All],[Discount Level]],0),MATCH(lettershopInsertFoldPricing[[#Headers],[≥ 10,000]],lettershopInsertFoldPricing[[#Headers],[≥ 1]:[≥ 150,000]],0))),2)</f>
        <v>62.66</v>
      </c>
      <c r="G137" s="158">
        <f>ROUND($D137*(1-INDEX(discounts[#All],MATCH($O137,discounts[[#All],[Discount Level]],0),MATCH(lettershopInsertFoldPricing[[#Headers],[≥ 15,000]],lettershopInsertFoldPricing[[#Headers],[≥ 1]:[≥ 150,000]],0))),2)</f>
        <v>54.3</v>
      </c>
      <c r="H137" s="158">
        <f>ROUND($D137*(1-INDEX(discounts[#All],MATCH($O137,discounts[[#All],[Discount Level]],0),MATCH(lettershopInsertFoldPricing[[#Headers],[≥ 20,000]],lettershopInsertFoldPricing[[#Headers],[≥ 1]:[≥ 150,000]],0))),2)</f>
        <v>50.12</v>
      </c>
      <c r="I137" s="158">
        <f>ROUND($D137*(1-INDEX(discounts[#All],MATCH($O137,discounts[[#All],[Discount Level]],0),MATCH(lettershopInsertFoldPricing[[#Headers],[≥ 25,000]],lettershopInsertFoldPricing[[#Headers],[≥ 1]:[≥ 150,000]],0))),2)</f>
        <v>45.95</v>
      </c>
      <c r="J137" s="158">
        <f>ROUND($D137*(1-INDEX(discounts[#All],MATCH($O137,discounts[[#All],[Discount Level]],0),MATCH(lettershopInsertFoldPricing[[#Headers],[≥ 35,000]],lettershopInsertFoldPricing[[#Headers],[≥ 1]:[≥ 150,000]],0))),2)</f>
        <v>41.77</v>
      </c>
      <c r="K137" s="158">
        <f>ROUND($D137*(1-INDEX(discounts[#All],MATCH($O137,discounts[[#All],[Discount Level]],0),MATCH(lettershopInsertFoldPricing[[#Headers],[≥ 50,000]],lettershopInsertFoldPricing[[#Headers],[≥ 1]:[≥ 150,000]],0))),2)</f>
        <v>40.1</v>
      </c>
      <c r="L137" s="158">
        <f>ROUND($D137*(1-INDEX(discounts[#All],MATCH($O137,discounts[[#All],[Discount Level]],0),MATCH(lettershopInsertFoldPricing[[#Headers],[≥ 75,000]],lettershopInsertFoldPricing[[#Headers],[≥ 1]:[≥ 150,000]],0))),2)</f>
        <v>39.26</v>
      </c>
      <c r="M137" s="158">
        <f>ROUND($D137*(1-INDEX(discounts[#All],MATCH($O137,discounts[[#All],[Discount Level]],0),MATCH(lettershopInsertFoldPricing[[#Headers],[≥ 100,000]],lettershopInsertFoldPricing[[#Headers],[≥ 1]:[≥ 150,000]],0))),2)</f>
        <v>38.43</v>
      </c>
      <c r="N137" s="158">
        <f>ROUND($D137*(1-INDEX(discounts[#All],MATCH($O137,discounts[[#All],[Discount Level]],0),MATCH(lettershopInsertFoldPricing[[#Headers],[≥ 150,000]],lettershopInsertFoldPricing[[#Headers],[≥ 1]:[≥ 150,000]],0))),2)</f>
        <v>37.590000000000003</v>
      </c>
      <c r="O137" s="16" t="s">
        <v>493</v>
      </c>
    </row>
    <row r="138" spans="1:15" ht="27" customHeight="1" x14ac:dyDescent="0.25">
      <c r="A138" s="144" t="s">
        <v>491</v>
      </c>
      <c r="B138" s="144" t="s">
        <v>494</v>
      </c>
      <c r="C138" s="151">
        <v>42.5</v>
      </c>
      <c r="D138" s="158">
        <v>86.1</v>
      </c>
      <c r="E138" s="158">
        <f>ROUND($D138*(1-INDEX(discounts[#All],MATCH($O138,discounts[[#All],[Discount Level]],0),MATCH(lettershopInsertFoldPricing[[#Headers],[≥ 5,000]],lettershopInsertFoldPricing[[#Headers],[≥ 1]:[≥ 150,000]],0))),2)</f>
        <v>73.19</v>
      </c>
      <c r="F138" s="158">
        <f>ROUND($D138*(1-INDEX(discounts[#All],MATCH($O138,discounts[[#All],[Discount Level]],0),MATCH(lettershopInsertFoldPricing[[#Headers],[≥ 10,000]],lettershopInsertFoldPricing[[#Headers],[≥ 1]:[≥ 150,000]],0))),2)</f>
        <v>64.58</v>
      </c>
      <c r="G138" s="158">
        <f>ROUND($D138*(1-INDEX(discounts[#All],MATCH($O138,discounts[[#All],[Discount Level]],0),MATCH(lettershopInsertFoldPricing[[#Headers],[≥ 15,000]],lettershopInsertFoldPricing[[#Headers],[≥ 1]:[≥ 150,000]],0))),2)</f>
        <v>55.97</v>
      </c>
      <c r="H138" s="158">
        <f>ROUND($D138*(1-INDEX(discounts[#All],MATCH($O138,discounts[[#All],[Discount Level]],0),MATCH(lettershopInsertFoldPricing[[#Headers],[≥ 20,000]],lettershopInsertFoldPricing[[#Headers],[≥ 1]:[≥ 150,000]],0))),2)</f>
        <v>51.66</v>
      </c>
      <c r="I138" s="158">
        <f>ROUND($D138*(1-INDEX(discounts[#All],MATCH($O138,discounts[[#All],[Discount Level]],0),MATCH(lettershopInsertFoldPricing[[#Headers],[≥ 25,000]],lettershopInsertFoldPricing[[#Headers],[≥ 1]:[≥ 150,000]],0))),2)</f>
        <v>47.36</v>
      </c>
      <c r="J138" s="158">
        <f>ROUND($D138*(1-INDEX(discounts[#All],MATCH($O138,discounts[[#All],[Discount Level]],0),MATCH(lettershopInsertFoldPricing[[#Headers],[≥ 35,000]],lettershopInsertFoldPricing[[#Headers],[≥ 1]:[≥ 150,000]],0))),2)</f>
        <v>43.05</v>
      </c>
      <c r="K138" s="158">
        <f>ROUND($D138*(1-INDEX(discounts[#All],MATCH($O138,discounts[[#All],[Discount Level]],0),MATCH(lettershopInsertFoldPricing[[#Headers],[≥ 50,000]],lettershopInsertFoldPricing[[#Headers],[≥ 1]:[≥ 150,000]],0))),2)</f>
        <v>41.33</v>
      </c>
      <c r="L138" s="158">
        <f>ROUND($D138*(1-INDEX(discounts[#All],MATCH($O138,discounts[[#All],[Discount Level]],0),MATCH(lettershopInsertFoldPricing[[#Headers],[≥ 75,000]],lettershopInsertFoldPricing[[#Headers],[≥ 1]:[≥ 150,000]],0))),2)</f>
        <v>40.47</v>
      </c>
      <c r="M138" s="158">
        <f>ROUND($D138*(1-INDEX(discounts[#All],MATCH($O138,discounts[[#All],[Discount Level]],0),MATCH(lettershopInsertFoldPricing[[#Headers],[≥ 100,000]],lettershopInsertFoldPricing[[#Headers],[≥ 1]:[≥ 150,000]],0))),2)</f>
        <v>39.61</v>
      </c>
      <c r="N138" s="158">
        <f>ROUND($D138*(1-INDEX(discounts[#All],MATCH($O138,discounts[[#All],[Discount Level]],0),MATCH(lettershopInsertFoldPricing[[#Headers],[≥ 150,000]],lettershopInsertFoldPricing[[#Headers],[≥ 1]:[≥ 150,000]],0))),2)</f>
        <v>38.75</v>
      </c>
      <c r="O138" s="16" t="s">
        <v>493</v>
      </c>
    </row>
    <row r="139" spans="1:15" ht="27" customHeight="1" x14ac:dyDescent="0.25">
      <c r="A139" s="144" t="s">
        <v>491</v>
      </c>
      <c r="B139" s="144" t="s">
        <v>495</v>
      </c>
      <c r="C139" s="151">
        <v>45</v>
      </c>
      <c r="D139" s="158">
        <v>88.66</v>
      </c>
      <c r="E139" s="158">
        <f>ROUND($D139*(1-INDEX(discounts[#All],MATCH($O139,discounts[[#All],[Discount Level]],0),MATCH(lettershopInsertFoldPricing[[#Headers],[≥ 5,000]],lettershopInsertFoldPricing[[#Headers],[≥ 1]:[≥ 150,000]],0))),2)</f>
        <v>75.36</v>
      </c>
      <c r="F139" s="158">
        <f>ROUND($D139*(1-INDEX(discounts[#All],MATCH($O139,discounts[[#All],[Discount Level]],0),MATCH(lettershopInsertFoldPricing[[#Headers],[≥ 10,000]],lettershopInsertFoldPricing[[#Headers],[≥ 1]:[≥ 150,000]],0))),2)</f>
        <v>66.5</v>
      </c>
      <c r="G139" s="158">
        <f>ROUND($D139*(1-INDEX(discounts[#All],MATCH($O139,discounts[[#All],[Discount Level]],0),MATCH(lettershopInsertFoldPricing[[#Headers],[≥ 15,000]],lettershopInsertFoldPricing[[#Headers],[≥ 1]:[≥ 150,000]],0))),2)</f>
        <v>57.63</v>
      </c>
      <c r="H139" s="158">
        <f>ROUND($D139*(1-INDEX(discounts[#All],MATCH($O139,discounts[[#All],[Discount Level]],0),MATCH(lettershopInsertFoldPricing[[#Headers],[≥ 20,000]],lettershopInsertFoldPricing[[#Headers],[≥ 1]:[≥ 150,000]],0))),2)</f>
        <v>53.2</v>
      </c>
      <c r="I139" s="158">
        <f>ROUND($D139*(1-INDEX(discounts[#All],MATCH($O139,discounts[[#All],[Discount Level]],0),MATCH(lettershopInsertFoldPricing[[#Headers],[≥ 25,000]],lettershopInsertFoldPricing[[#Headers],[≥ 1]:[≥ 150,000]],0))),2)</f>
        <v>48.76</v>
      </c>
      <c r="J139" s="158">
        <f>ROUND($D139*(1-INDEX(discounts[#All],MATCH($O139,discounts[[#All],[Discount Level]],0),MATCH(lettershopInsertFoldPricing[[#Headers],[≥ 35,000]],lettershopInsertFoldPricing[[#Headers],[≥ 1]:[≥ 150,000]],0))),2)</f>
        <v>44.33</v>
      </c>
      <c r="K139" s="158">
        <f>ROUND($D139*(1-INDEX(discounts[#All],MATCH($O139,discounts[[#All],[Discount Level]],0),MATCH(lettershopInsertFoldPricing[[#Headers],[≥ 50,000]],lettershopInsertFoldPricing[[#Headers],[≥ 1]:[≥ 150,000]],0))),2)</f>
        <v>42.56</v>
      </c>
      <c r="L139" s="158">
        <f>ROUND($D139*(1-INDEX(discounts[#All],MATCH($O139,discounts[[#All],[Discount Level]],0),MATCH(lettershopInsertFoldPricing[[#Headers],[≥ 75,000]],lettershopInsertFoldPricing[[#Headers],[≥ 1]:[≥ 150,000]],0))),2)</f>
        <v>41.67</v>
      </c>
      <c r="M139" s="158">
        <f>ROUND($D139*(1-INDEX(discounts[#All],MATCH($O139,discounts[[#All],[Discount Level]],0),MATCH(lettershopInsertFoldPricing[[#Headers],[≥ 100,000]],lettershopInsertFoldPricing[[#Headers],[≥ 1]:[≥ 150,000]],0))),2)</f>
        <v>40.78</v>
      </c>
      <c r="N139" s="158">
        <f>ROUND($D139*(1-INDEX(discounts[#All],MATCH($O139,discounts[[#All],[Discount Level]],0),MATCH(lettershopInsertFoldPricing[[#Headers],[≥ 150,000]],lettershopInsertFoldPricing[[#Headers],[≥ 1]:[≥ 150,000]],0))),2)</f>
        <v>39.9</v>
      </c>
      <c r="O139" s="16" t="s">
        <v>493</v>
      </c>
    </row>
    <row r="140" spans="1:15" ht="27" customHeight="1" x14ac:dyDescent="0.25">
      <c r="A140" s="144" t="s">
        <v>491</v>
      </c>
      <c r="B140" s="144" t="s">
        <v>496</v>
      </c>
      <c r="C140" s="151">
        <v>55</v>
      </c>
      <c r="D140" s="158">
        <v>99.43</v>
      </c>
      <c r="E140" s="158">
        <f>ROUND($D140*(1-INDEX(discounts[#All],MATCH($O140,discounts[[#All],[Discount Level]],0),MATCH(lettershopInsertFoldPricing[[#Headers],[≥ 5,000]],lettershopInsertFoldPricing[[#Headers],[≥ 1]:[≥ 150,000]],0))),2)</f>
        <v>84.52</v>
      </c>
      <c r="F140" s="158">
        <f>ROUND($D140*(1-INDEX(discounts[#All],MATCH($O140,discounts[[#All],[Discount Level]],0),MATCH(lettershopInsertFoldPricing[[#Headers],[≥ 10,000]],lettershopInsertFoldPricing[[#Headers],[≥ 1]:[≥ 150,000]],0))),2)</f>
        <v>74.569999999999993</v>
      </c>
      <c r="G140" s="158">
        <f>ROUND($D140*(1-INDEX(discounts[#All],MATCH($O140,discounts[[#All],[Discount Level]],0),MATCH(lettershopInsertFoldPricing[[#Headers],[≥ 15,000]],lettershopInsertFoldPricing[[#Headers],[≥ 1]:[≥ 150,000]],0))),2)</f>
        <v>64.63</v>
      </c>
      <c r="H140" s="158">
        <f>ROUND($D140*(1-INDEX(discounts[#All],MATCH($O140,discounts[[#All],[Discount Level]],0),MATCH(lettershopInsertFoldPricing[[#Headers],[≥ 20,000]],lettershopInsertFoldPricing[[#Headers],[≥ 1]:[≥ 150,000]],0))),2)</f>
        <v>59.66</v>
      </c>
      <c r="I140" s="158">
        <f>ROUND($D140*(1-INDEX(discounts[#All],MATCH($O140,discounts[[#All],[Discount Level]],0),MATCH(lettershopInsertFoldPricing[[#Headers],[≥ 25,000]],lettershopInsertFoldPricing[[#Headers],[≥ 1]:[≥ 150,000]],0))),2)</f>
        <v>54.69</v>
      </c>
      <c r="J140" s="158">
        <f>ROUND($D140*(1-INDEX(discounts[#All],MATCH($O140,discounts[[#All],[Discount Level]],0),MATCH(lettershopInsertFoldPricing[[#Headers],[≥ 35,000]],lettershopInsertFoldPricing[[#Headers],[≥ 1]:[≥ 150,000]],0))),2)</f>
        <v>49.72</v>
      </c>
      <c r="K140" s="158">
        <f>ROUND($D140*(1-INDEX(discounts[#All],MATCH($O140,discounts[[#All],[Discount Level]],0),MATCH(lettershopInsertFoldPricing[[#Headers],[≥ 50,000]],lettershopInsertFoldPricing[[#Headers],[≥ 1]:[≥ 150,000]],0))),2)</f>
        <v>47.73</v>
      </c>
      <c r="L140" s="158">
        <f>ROUND($D140*(1-INDEX(discounts[#All],MATCH($O140,discounts[[#All],[Discount Level]],0),MATCH(lettershopInsertFoldPricing[[#Headers],[≥ 75,000]],lettershopInsertFoldPricing[[#Headers],[≥ 1]:[≥ 150,000]],0))),2)</f>
        <v>46.73</v>
      </c>
      <c r="M140" s="158">
        <f>ROUND($D140*(1-INDEX(discounts[#All],MATCH($O140,discounts[[#All],[Discount Level]],0),MATCH(lettershopInsertFoldPricing[[#Headers],[≥ 100,000]],lettershopInsertFoldPricing[[#Headers],[≥ 1]:[≥ 150,000]],0))),2)</f>
        <v>45.74</v>
      </c>
      <c r="N140" s="158">
        <f>ROUND($D140*(1-INDEX(discounts[#All],MATCH($O140,discounts[[#All],[Discount Level]],0),MATCH(lettershopInsertFoldPricing[[#Headers],[≥ 150,000]],lettershopInsertFoldPricing[[#Headers],[≥ 1]:[≥ 150,000]],0))),2)</f>
        <v>44.74</v>
      </c>
      <c r="O140" s="16" t="s">
        <v>493</v>
      </c>
    </row>
    <row r="141" spans="1:15" ht="27" customHeight="1" x14ac:dyDescent="0.25">
      <c r="A141" s="144" t="s">
        <v>491</v>
      </c>
      <c r="B141" s="144" t="s">
        <v>497</v>
      </c>
      <c r="C141" s="151">
        <v>57.5</v>
      </c>
      <c r="D141" s="158">
        <v>101.99</v>
      </c>
      <c r="E141" s="158">
        <f>ROUND($D141*(1-INDEX(discounts[#All],MATCH($O141,discounts[[#All],[Discount Level]],0),MATCH(lettershopInsertFoldPricing[[#Headers],[≥ 5,000]],lettershopInsertFoldPricing[[#Headers],[≥ 1]:[≥ 150,000]],0))),2)</f>
        <v>86.69</v>
      </c>
      <c r="F141" s="158">
        <f>ROUND($D141*(1-INDEX(discounts[#All],MATCH($O141,discounts[[#All],[Discount Level]],0),MATCH(lettershopInsertFoldPricing[[#Headers],[≥ 10,000]],lettershopInsertFoldPricing[[#Headers],[≥ 1]:[≥ 150,000]],0))),2)</f>
        <v>76.489999999999995</v>
      </c>
      <c r="G141" s="158">
        <f>ROUND($D141*(1-INDEX(discounts[#All],MATCH($O141,discounts[[#All],[Discount Level]],0),MATCH(lettershopInsertFoldPricing[[#Headers],[≥ 15,000]],lettershopInsertFoldPricing[[#Headers],[≥ 1]:[≥ 150,000]],0))),2)</f>
        <v>66.290000000000006</v>
      </c>
      <c r="H141" s="158">
        <f>ROUND($D141*(1-INDEX(discounts[#All],MATCH($O141,discounts[[#All],[Discount Level]],0),MATCH(lettershopInsertFoldPricing[[#Headers],[≥ 20,000]],lettershopInsertFoldPricing[[#Headers],[≥ 1]:[≥ 150,000]],0))),2)</f>
        <v>61.19</v>
      </c>
      <c r="I141" s="158">
        <f>ROUND($D141*(1-INDEX(discounts[#All],MATCH($O141,discounts[[#All],[Discount Level]],0),MATCH(lettershopInsertFoldPricing[[#Headers],[≥ 25,000]],lettershopInsertFoldPricing[[#Headers],[≥ 1]:[≥ 150,000]],0))),2)</f>
        <v>56.09</v>
      </c>
      <c r="J141" s="158">
        <f>ROUND($D141*(1-INDEX(discounts[#All],MATCH($O141,discounts[[#All],[Discount Level]],0),MATCH(lettershopInsertFoldPricing[[#Headers],[≥ 35,000]],lettershopInsertFoldPricing[[#Headers],[≥ 1]:[≥ 150,000]],0))),2)</f>
        <v>51</v>
      </c>
      <c r="K141" s="158">
        <f>ROUND($D141*(1-INDEX(discounts[#All],MATCH($O141,discounts[[#All],[Discount Level]],0),MATCH(lettershopInsertFoldPricing[[#Headers],[≥ 50,000]],lettershopInsertFoldPricing[[#Headers],[≥ 1]:[≥ 150,000]],0))),2)</f>
        <v>48.96</v>
      </c>
      <c r="L141" s="158">
        <f>ROUND($D141*(1-INDEX(discounts[#All],MATCH($O141,discounts[[#All],[Discount Level]],0),MATCH(lettershopInsertFoldPricing[[#Headers],[≥ 75,000]],lettershopInsertFoldPricing[[#Headers],[≥ 1]:[≥ 150,000]],0))),2)</f>
        <v>47.94</v>
      </c>
      <c r="M141" s="158">
        <f>ROUND($D141*(1-INDEX(discounts[#All],MATCH($O141,discounts[[#All],[Discount Level]],0),MATCH(lettershopInsertFoldPricing[[#Headers],[≥ 100,000]],lettershopInsertFoldPricing[[#Headers],[≥ 1]:[≥ 150,000]],0))),2)</f>
        <v>46.92</v>
      </c>
      <c r="N141" s="158">
        <f>ROUND($D141*(1-INDEX(discounts[#All],MATCH($O141,discounts[[#All],[Discount Level]],0),MATCH(lettershopInsertFoldPricing[[#Headers],[≥ 150,000]],lettershopInsertFoldPricing[[#Headers],[≥ 1]:[≥ 150,000]],0))),2)</f>
        <v>45.9</v>
      </c>
      <c r="O141" s="16" t="s">
        <v>493</v>
      </c>
    </row>
    <row r="142" spans="1:15" ht="27" customHeight="1" x14ac:dyDescent="0.25">
      <c r="A142" s="144" t="s">
        <v>491</v>
      </c>
      <c r="B142" s="144" t="s">
        <v>498</v>
      </c>
      <c r="C142" s="151">
        <v>60</v>
      </c>
      <c r="D142" s="158">
        <v>104.55</v>
      </c>
      <c r="E142" s="158">
        <f>ROUND($D142*(1-INDEX(discounts[#All],MATCH($O142,discounts[[#All],[Discount Level]],0),MATCH(lettershopInsertFoldPricing[[#Headers],[≥ 5,000]],lettershopInsertFoldPricing[[#Headers],[≥ 1]:[≥ 150,000]],0))),2)</f>
        <v>88.87</v>
      </c>
      <c r="F142" s="158">
        <f>ROUND($D142*(1-INDEX(discounts[#All],MATCH($O142,discounts[[#All],[Discount Level]],0),MATCH(lettershopInsertFoldPricing[[#Headers],[≥ 10,000]],lettershopInsertFoldPricing[[#Headers],[≥ 1]:[≥ 150,000]],0))),2)</f>
        <v>78.41</v>
      </c>
      <c r="G142" s="158">
        <f>ROUND($D142*(1-INDEX(discounts[#All],MATCH($O142,discounts[[#All],[Discount Level]],0),MATCH(lettershopInsertFoldPricing[[#Headers],[≥ 15,000]],lettershopInsertFoldPricing[[#Headers],[≥ 1]:[≥ 150,000]],0))),2)</f>
        <v>67.959999999999994</v>
      </c>
      <c r="H142" s="158">
        <f>ROUND($D142*(1-INDEX(discounts[#All],MATCH($O142,discounts[[#All],[Discount Level]],0),MATCH(lettershopInsertFoldPricing[[#Headers],[≥ 20,000]],lettershopInsertFoldPricing[[#Headers],[≥ 1]:[≥ 150,000]],0))),2)</f>
        <v>62.73</v>
      </c>
      <c r="I142" s="158">
        <f>ROUND($D142*(1-INDEX(discounts[#All],MATCH($O142,discounts[[#All],[Discount Level]],0),MATCH(lettershopInsertFoldPricing[[#Headers],[≥ 25,000]],lettershopInsertFoldPricing[[#Headers],[≥ 1]:[≥ 150,000]],0))),2)</f>
        <v>57.5</v>
      </c>
      <c r="J142" s="158">
        <f>ROUND($D142*(1-INDEX(discounts[#All],MATCH($O142,discounts[[#All],[Discount Level]],0),MATCH(lettershopInsertFoldPricing[[#Headers],[≥ 35,000]],lettershopInsertFoldPricing[[#Headers],[≥ 1]:[≥ 150,000]],0))),2)</f>
        <v>52.28</v>
      </c>
      <c r="K142" s="158">
        <f>ROUND($D142*(1-INDEX(discounts[#All],MATCH($O142,discounts[[#All],[Discount Level]],0),MATCH(lettershopInsertFoldPricing[[#Headers],[≥ 50,000]],lettershopInsertFoldPricing[[#Headers],[≥ 1]:[≥ 150,000]],0))),2)</f>
        <v>50.18</v>
      </c>
      <c r="L142" s="158">
        <f>ROUND($D142*(1-INDEX(discounts[#All],MATCH($O142,discounts[[#All],[Discount Level]],0),MATCH(lettershopInsertFoldPricing[[#Headers],[≥ 75,000]],lettershopInsertFoldPricing[[#Headers],[≥ 1]:[≥ 150,000]],0))),2)</f>
        <v>49.14</v>
      </c>
      <c r="M142" s="158">
        <f>ROUND($D142*(1-INDEX(discounts[#All],MATCH($O142,discounts[[#All],[Discount Level]],0),MATCH(lettershopInsertFoldPricing[[#Headers],[≥ 100,000]],lettershopInsertFoldPricing[[#Headers],[≥ 1]:[≥ 150,000]],0))),2)</f>
        <v>48.09</v>
      </c>
      <c r="N142" s="158">
        <f>ROUND($D142*(1-INDEX(discounts[#All],MATCH($O142,discounts[[#All],[Discount Level]],0),MATCH(lettershopInsertFoldPricing[[#Headers],[≥ 150,000]],lettershopInsertFoldPricing[[#Headers],[≥ 1]:[≥ 150,000]],0))),2)</f>
        <v>47.05</v>
      </c>
      <c r="O142" s="16" t="s">
        <v>493</v>
      </c>
    </row>
    <row r="143" spans="1:15" ht="27" customHeight="1" x14ac:dyDescent="0.25">
      <c r="A143" s="144" t="s">
        <v>491</v>
      </c>
      <c r="B143" s="144" t="s">
        <v>499</v>
      </c>
      <c r="C143" s="151">
        <v>45</v>
      </c>
      <c r="D143" s="158">
        <v>94.3</v>
      </c>
      <c r="E143" s="158">
        <f>ROUND($D143*(1-INDEX(discounts[#All],MATCH($O143,discounts[[#All],[Discount Level]],0),MATCH(lettershopInsertFoldPricing[[#Headers],[≥ 5,000]],lettershopInsertFoldPricing[[#Headers],[≥ 1]:[≥ 150,000]],0))),2)</f>
        <v>80.16</v>
      </c>
      <c r="F143" s="158">
        <f>ROUND($D143*(1-INDEX(discounts[#All],MATCH($O143,discounts[[#All],[Discount Level]],0),MATCH(lettershopInsertFoldPricing[[#Headers],[≥ 10,000]],lettershopInsertFoldPricing[[#Headers],[≥ 1]:[≥ 150,000]],0))),2)</f>
        <v>70.73</v>
      </c>
      <c r="G143" s="158">
        <f>ROUND($D143*(1-INDEX(discounts[#All],MATCH($O143,discounts[[#All],[Discount Level]],0),MATCH(lettershopInsertFoldPricing[[#Headers],[≥ 15,000]],lettershopInsertFoldPricing[[#Headers],[≥ 1]:[≥ 150,000]],0))),2)</f>
        <v>61.3</v>
      </c>
      <c r="H143" s="158">
        <f>ROUND($D143*(1-INDEX(discounts[#All],MATCH($O143,discounts[[#All],[Discount Level]],0),MATCH(lettershopInsertFoldPricing[[#Headers],[≥ 20,000]],lettershopInsertFoldPricing[[#Headers],[≥ 1]:[≥ 150,000]],0))),2)</f>
        <v>56.58</v>
      </c>
      <c r="I143" s="158">
        <f>ROUND($D143*(1-INDEX(discounts[#All],MATCH($O143,discounts[[#All],[Discount Level]],0),MATCH(lettershopInsertFoldPricing[[#Headers],[≥ 25,000]],lettershopInsertFoldPricing[[#Headers],[≥ 1]:[≥ 150,000]],0))),2)</f>
        <v>51.87</v>
      </c>
      <c r="J143" s="158">
        <f>ROUND($D143*(1-INDEX(discounts[#All],MATCH($O143,discounts[[#All],[Discount Level]],0),MATCH(lettershopInsertFoldPricing[[#Headers],[≥ 35,000]],lettershopInsertFoldPricing[[#Headers],[≥ 1]:[≥ 150,000]],0))),2)</f>
        <v>47.15</v>
      </c>
      <c r="K143" s="158">
        <f>ROUND($D143*(1-INDEX(discounts[#All],MATCH($O143,discounts[[#All],[Discount Level]],0),MATCH(lettershopInsertFoldPricing[[#Headers],[≥ 50,000]],lettershopInsertFoldPricing[[#Headers],[≥ 1]:[≥ 150,000]],0))),2)</f>
        <v>45.26</v>
      </c>
      <c r="L143" s="158">
        <f>ROUND($D143*(1-INDEX(discounts[#All],MATCH($O143,discounts[[#All],[Discount Level]],0),MATCH(lettershopInsertFoldPricing[[#Headers],[≥ 75,000]],lettershopInsertFoldPricing[[#Headers],[≥ 1]:[≥ 150,000]],0))),2)</f>
        <v>44.32</v>
      </c>
      <c r="M143" s="158">
        <f>ROUND($D143*(1-INDEX(discounts[#All],MATCH($O143,discounts[[#All],[Discount Level]],0),MATCH(lettershopInsertFoldPricing[[#Headers],[≥ 100,000]],lettershopInsertFoldPricing[[#Headers],[≥ 1]:[≥ 150,000]],0))),2)</f>
        <v>43.38</v>
      </c>
      <c r="N143" s="158">
        <f>ROUND($D143*(1-INDEX(discounts[#All],MATCH($O143,discounts[[#All],[Discount Level]],0),MATCH(lettershopInsertFoldPricing[[#Headers],[≥ 150,000]],lettershopInsertFoldPricing[[#Headers],[≥ 1]:[≥ 150,000]],0))),2)</f>
        <v>42.44</v>
      </c>
      <c r="O143" s="16" t="s">
        <v>493</v>
      </c>
    </row>
    <row r="144" spans="1:15" ht="27" customHeight="1" x14ac:dyDescent="0.25">
      <c r="A144" s="144" t="s">
        <v>491</v>
      </c>
      <c r="B144" s="144" t="s">
        <v>500</v>
      </c>
      <c r="C144" s="151">
        <v>47.5</v>
      </c>
      <c r="D144" s="158">
        <v>96.86</v>
      </c>
      <c r="E144" s="158">
        <f>ROUND($D144*(1-INDEX(discounts[#All],MATCH($O144,discounts[[#All],[Discount Level]],0),MATCH(lettershopInsertFoldPricing[[#Headers],[≥ 5,000]],lettershopInsertFoldPricing[[#Headers],[≥ 1]:[≥ 150,000]],0))),2)</f>
        <v>82.33</v>
      </c>
      <c r="F144" s="158">
        <f>ROUND($D144*(1-INDEX(discounts[#All],MATCH($O144,discounts[[#All],[Discount Level]],0),MATCH(lettershopInsertFoldPricing[[#Headers],[≥ 10,000]],lettershopInsertFoldPricing[[#Headers],[≥ 1]:[≥ 150,000]],0))),2)</f>
        <v>72.650000000000006</v>
      </c>
      <c r="G144" s="158">
        <f>ROUND($D144*(1-INDEX(discounts[#All],MATCH($O144,discounts[[#All],[Discount Level]],0),MATCH(lettershopInsertFoldPricing[[#Headers],[≥ 15,000]],lettershopInsertFoldPricing[[#Headers],[≥ 1]:[≥ 150,000]],0))),2)</f>
        <v>62.96</v>
      </c>
      <c r="H144" s="158">
        <f>ROUND($D144*(1-INDEX(discounts[#All],MATCH($O144,discounts[[#All],[Discount Level]],0),MATCH(lettershopInsertFoldPricing[[#Headers],[≥ 20,000]],lettershopInsertFoldPricing[[#Headers],[≥ 1]:[≥ 150,000]],0))),2)</f>
        <v>58.12</v>
      </c>
      <c r="I144" s="158">
        <f>ROUND($D144*(1-INDEX(discounts[#All],MATCH($O144,discounts[[#All],[Discount Level]],0),MATCH(lettershopInsertFoldPricing[[#Headers],[≥ 25,000]],lettershopInsertFoldPricing[[#Headers],[≥ 1]:[≥ 150,000]],0))),2)</f>
        <v>53.27</v>
      </c>
      <c r="J144" s="158">
        <f>ROUND($D144*(1-INDEX(discounts[#All],MATCH($O144,discounts[[#All],[Discount Level]],0),MATCH(lettershopInsertFoldPricing[[#Headers],[≥ 35,000]],lettershopInsertFoldPricing[[#Headers],[≥ 1]:[≥ 150,000]],0))),2)</f>
        <v>48.43</v>
      </c>
      <c r="K144" s="158">
        <f>ROUND($D144*(1-INDEX(discounts[#All],MATCH($O144,discounts[[#All],[Discount Level]],0),MATCH(lettershopInsertFoldPricing[[#Headers],[≥ 50,000]],lettershopInsertFoldPricing[[#Headers],[≥ 1]:[≥ 150,000]],0))),2)</f>
        <v>46.49</v>
      </c>
      <c r="L144" s="158">
        <f>ROUND($D144*(1-INDEX(discounts[#All],MATCH($O144,discounts[[#All],[Discount Level]],0),MATCH(lettershopInsertFoldPricing[[#Headers],[≥ 75,000]],lettershopInsertFoldPricing[[#Headers],[≥ 1]:[≥ 150,000]],0))),2)</f>
        <v>45.52</v>
      </c>
      <c r="M144" s="158">
        <f>ROUND($D144*(1-INDEX(discounts[#All],MATCH($O144,discounts[[#All],[Discount Level]],0),MATCH(lettershopInsertFoldPricing[[#Headers],[≥ 100,000]],lettershopInsertFoldPricing[[#Headers],[≥ 1]:[≥ 150,000]],0))),2)</f>
        <v>44.56</v>
      </c>
      <c r="N144" s="158">
        <f>ROUND($D144*(1-INDEX(discounts[#All],MATCH($O144,discounts[[#All],[Discount Level]],0),MATCH(lettershopInsertFoldPricing[[#Headers],[≥ 150,000]],lettershopInsertFoldPricing[[#Headers],[≥ 1]:[≥ 150,000]],0))),2)</f>
        <v>43.59</v>
      </c>
      <c r="O144" s="16" t="s">
        <v>493</v>
      </c>
    </row>
    <row r="145" spans="1:15" ht="27" customHeight="1" x14ac:dyDescent="0.25">
      <c r="A145" s="144" t="s">
        <v>491</v>
      </c>
      <c r="B145" s="144" t="s">
        <v>501</v>
      </c>
      <c r="C145" s="151">
        <v>50</v>
      </c>
      <c r="D145" s="158">
        <v>99.43</v>
      </c>
      <c r="E145" s="158">
        <f>ROUND($D145*(1-INDEX(discounts[#All],MATCH($O145,discounts[[#All],[Discount Level]],0),MATCH(lettershopInsertFoldPricing[[#Headers],[≥ 5,000]],lettershopInsertFoldPricing[[#Headers],[≥ 1]:[≥ 150,000]],0))),2)</f>
        <v>84.52</v>
      </c>
      <c r="F145" s="158">
        <f>ROUND($D145*(1-INDEX(discounts[#All],MATCH($O145,discounts[[#All],[Discount Level]],0),MATCH(lettershopInsertFoldPricing[[#Headers],[≥ 10,000]],lettershopInsertFoldPricing[[#Headers],[≥ 1]:[≥ 150,000]],0))),2)</f>
        <v>74.569999999999993</v>
      </c>
      <c r="G145" s="158">
        <f>ROUND($D145*(1-INDEX(discounts[#All],MATCH($O145,discounts[[#All],[Discount Level]],0),MATCH(lettershopInsertFoldPricing[[#Headers],[≥ 15,000]],lettershopInsertFoldPricing[[#Headers],[≥ 1]:[≥ 150,000]],0))),2)</f>
        <v>64.63</v>
      </c>
      <c r="H145" s="158">
        <f>ROUND($D145*(1-INDEX(discounts[#All],MATCH($O145,discounts[[#All],[Discount Level]],0),MATCH(lettershopInsertFoldPricing[[#Headers],[≥ 20,000]],lettershopInsertFoldPricing[[#Headers],[≥ 1]:[≥ 150,000]],0))),2)</f>
        <v>59.66</v>
      </c>
      <c r="I145" s="158">
        <f>ROUND($D145*(1-INDEX(discounts[#All],MATCH($O145,discounts[[#All],[Discount Level]],0),MATCH(lettershopInsertFoldPricing[[#Headers],[≥ 25,000]],lettershopInsertFoldPricing[[#Headers],[≥ 1]:[≥ 150,000]],0))),2)</f>
        <v>54.69</v>
      </c>
      <c r="J145" s="158">
        <f>ROUND($D145*(1-INDEX(discounts[#All],MATCH($O145,discounts[[#All],[Discount Level]],0),MATCH(lettershopInsertFoldPricing[[#Headers],[≥ 35,000]],lettershopInsertFoldPricing[[#Headers],[≥ 1]:[≥ 150,000]],0))),2)</f>
        <v>49.72</v>
      </c>
      <c r="K145" s="158">
        <f>ROUND($D145*(1-INDEX(discounts[#All],MATCH($O145,discounts[[#All],[Discount Level]],0),MATCH(lettershopInsertFoldPricing[[#Headers],[≥ 50,000]],lettershopInsertFoldPricing[[#Headers],[≥ 1]:[≥ 150,000]],0))),2)</f>
        <v>47.73</v>
      </c>
      <c r="L145" s="158">
        <f>ROUND($D145*(1-INDEX(discounts[#All],MATCH($O145,discounts[[#All],[Discount Level]],0),MATCH(lettershopInsertFoldPricing[[#Headers],[≥ 75,000]],lettershopInsertFoldPricing[[#Headers],[≥ 1]:[≥ 150,000]],0))),2)</f>
        <v>46.73</v>
      </c>
      <c r="M145" s="158">
        <f>ROUND($D145*(1-INDEX(discounts[#All],MATCH($O145,discounts[[#All],[Discount Level]],0),MATCH(lettershopInsertFoldPricing[[#Headers],[≥ 100,000]],lettershopInsertFoldPricing[[#Headers],[≥ 1]:[≥ 150,000]],0))),2)</f>
        <v>45.74</v>
      </c>
      <c r="N145" s="158">
        <f>ROUND($D145*(1-INDEX(discounts[#All],MATCH($O145,discounts[[#All],[Discount Level]],0),MATCH(lettershopInsertFoldPricing[[#Headers],[≥ 150,000]],lettershopInsertFoldPricing[[#Headers],[≥ 1]:[≥ 150,000]],0))),2)</f>
        <v>44.74</v>
      </c>
      <c r="O145" s="16" t="s">
        <v>493</v>
      </c>
    </row>
    <row r="146" spans="1:15" ht="27" customHeight="1" x14ac:dyDescent="0.25">
      <c r="A146" s="144" t="s">
        <v>491</v>
      </c>
      <c r="B146" s="144" t="s">
        <v>502</v>
      </c>
      <c r="C146" s="151">
        <v>55</v>
      </c>
      <c r="D146" s="158">
        <v>109.68</v>
      </c>
      <c r="E146" s="158">
        <f>ROUND($D146*(1-INDEX(discounts[#All],MATCH($O146,discounts[[#All],[Discount Level]],0),MATCH(lettershopInsertFoldPricing[[#Headers],[≥ 5,000]],lettershopInsertFoldPricing[[#Headers],[≥ 1]:[≥ 150,000]],0))),2)</f>
        <v>93.23</v>
      </c>
      <c r="F146" s="158">
        <f>ROUND($D146*(1-INDEX(discounts[#All],MATCH($O146,discounts[[#All],[Discount Level]],0),MATCH(lettershopInsertFoldPricing[[#Headers],[≥ 10,000]],lettershopInsertFoldPricing[[#Headers],[≥ 1]:[≥ 150,000]],0))),2)</f>
        <v>82.26</v>
      </c>
      <c r="G146" s="158">
        <f>ROUND($D146*(1-INDEX(discounts[#All],MATCH($O146,discounts[[#All],[Discount Level]],0),MATCH(lettershopInsertFoldPricing[[#Headers],[≥ 15,000]],lettershopInsertFoldPricing[[#Headers],[≥ 1]:[≥ 150,000]],0))),2)</f>
        <v>71.290000000000006</v>
      </c>
      <c r="H146" s="158">
        <f>ROUND($D146*(1-INDEX(discounts[#All],MATCH($O146,discounts[[#All],[Discount Level]],0),MATCH(lettershopInsertFoldPricing[[#Headers],[≥ 20,000]],lettershopInsertFoldPricing[[#Headers],[≥ 1]:[≥ 150,000]],0))),2)</f>
        <v>65.81</v>
      </c>
      <c r="I146" s="158">
        <f>ROUND($D146*(1-INDEX(discounts[#All],MATCH($O146,discounts[[#All],[Discount Level]],0),MATCH(lettershopInsertFoldPricing[[#Headers],[≥ 25,000]],lettershopInsertFoldPricing[[#Headers],[≥ 1]:[≥ 150,000]],0))),2)</f>
        <v>60.32</v>
      </c>
      <c r="J146" s="158">
        <f>ROUND($D146*(1-INDEX(discounts[#All],MATCH($O146,discounts[[#All],[Discount Level]],0),MATCH(lettershopInsertFoldPricing[[#Headers],[≥ 35,000]],lettershopInsertFoldPricing[[#Headers],[≥ 1]:[≥ 150,000]],0))),2)</f>
        <v>54.84</v>
      </c>
      <c r="K146" s="158">
        <f>ROUND($D146*(1-INDEX(discounts[#All],MATCH($O146,discounts[[#All],[Discount Level]],0),MATCH(lettershopInsertFoldPricing[[#Headers],[≥ 50,000]],lettershopInsertFoldPricing[[#Headers],[≥ 1]:[≥ 150,000]],0))),2)</f>
        <v>52.65</v>
      </c>
      <c r="L146" s="158">
        <f>ROUND($D146*(1-INDEX(discounts[#All],MATCH($O146,discounts[[#All],[Discount Level]],0),MATCH(lettershopInsertFoldPricing[[#Headers],[≥ 75,000]],lettershopInsertFoldPricing[[#Headers],[≥ 1]:[≥ 150,000]],0))),2)</f>
        <v>51.55</v>
      </c>
      <c r="M146" s="158">
        <f>ROUND($D146*(1-INDEX(discounts[#All],MATCH($O146,discounts[[#All],[Discount Level]],0),MATCH(lettershopInsertFoldPricing[[#Headers],[≥ 100,000]],lettershopInsertFoldPricing[[#Headers],[≥ 1]:[≥ 150,000]],0))),2)</f>
        <v>50.45</v>
      </c>
      <c r="N146" s="158">
        <f>ROUND($D146*(1-INDEX(discounts[#All],MATCH($O146,discounts[[#All],[Discount Level]],0),MATCH(lettershopInsertFoldPricing[[#Headers],[≥ 150,000]],lettershopInsertFoldPricing[[#Headers],[≥ 1]:[≥ 150,000]],0))),2)</f>
        <v>49.36</v>
      </c>
      <c r="O146" s="16" t="s">
        <v>493</v>
      </c>
    </row>
    <row r="147" spans="1:15" ht="27" customHeight="1" x14ac:dyDescent="0.25">
      <c r="A147" s="144" t="s">
        <v>491</v>
      </c>
      <c r="B147" s="144" t="s">
        <v>503</v>
      </c>
      <c r="C147" s="151">
        <v>57.5</v>
      </c>
      <c r="D147" s="158">
        <v>112.24</v>
      </c>
      <c r="E147" s="158">
        <f>ROUND($D147*(1-INDEX(discounts[#All],MATCH($O147,discounts[[#All],[Discount Level]],0),MATCH(lettershopInsertFoldPricing[[#Headers],[≥ 5,000]],lettershopInsertFoldPricing[[#Headers],[≥ 1]:[≥ 150,000]],0))),2)</f>
        <v>95.4</v>
      </c>
      <c r="F147" s="158">
        <f>ROUND($D147*(1-INDEX(discounts[#All],MATCH($O147,discounts[[#All],[Discount Level]],0),MATCH(lettershopInsertFoldPricing[[#Headers],[≥ 10,000]],lettershopInsertFoldPricing[[#Headers],[≥ 1]:[≥ 150,000]],0))),2)</f>
        <v>84.18</v>
      </c>
      <c r="G147" s="158">
        <f>ROUND($D147*(1-INDEX(discounts[#All],MATCH($O147,discounts[[#All],[Discount Level]],0),MATCH(lettershopInsertFoldPricing[[#Headers],[≥ 15,000]],lettershopInsertFoldPricing[[#Headers],[≥ 1]:[≥ 150,000]],0))),2)</f>
        <v>72.959999999999994</v>
      </c>
      <c r="H147" s="158">
        <f>ROUND($D147*(1-INDEX(discounts[#All],MATCH($O147,discounts[[#All],[Discount Level]],0),MATCH(lettershopInsertFoldPricing[[#Headers],[≥ 20,000]],lettershopInsertFoldPricing[[#Headers],[≥ 1]:[≥ 150,000]],0))),2)</f>
        <v>67.34</v>
      </c>
      <c r="I147" s="158">
        <f>ROUND($D147*(1-INDEX(discounts[#All],MATCH($O147,discounts[[#All],[Discount Level]],0),MATCH(lettershopInsertFoldPricing[[#Headers],[≥ 25,000]],lettershopInsertFoldPricing[[#Headers],[≥ 1]:[≥ 150,000]],0))),2)</f>
        <v>61.73</v>
      </c>
      <c r="J147" s="158">
        <f>ROUND($D147*(1-INDEX(discounts[#All],MATCH($O147,discounts[[#All],[Discount Level]],0),MATCH(lettershopInsertFoldPricing[[#Headers],[≥ 35,000]],lettershopInsertFoldPricing[[#Headers],[≥ 1]:[≥ 150,000]],0))),2)</f>
        <v>56.12</v>
      </c>
      <c r="K147" s="158">
        <f>ROUND($D147*(1-INDEX(discounts[#All],MATCH($O147,discounts[[#All],[Discount Level]],0),MATCH(lettershopInsertFoldPricing[[#Headers],[≥ 50,000]],lettershopInsertFoldPricing[[#Headers],[≥ 1]:[≥ 150,000]],0))),2)</f>
        <v>53.88</v>
      </c>
      <c r="L147" s="158">
        <f>ROUND($D147*(1-INDEX(discounts[#All],MATCH($O147,discounts[[#All],[Discount Level]],0),MATCH(lettershopInsertFoldPricing[[#Headers],[≥ 75,000]],lettershopInsertFoldPricing[[#Headers],[≥ 1]:[≥ 150,000]],0))),2)</f>
        <v>52.75</v>
      </c>
      <c r="M147" s="158">
        <f>ROUND($D147*(1-INDEX(discounts[#All],MATCH($O147,discounts[[#All],[Discount Level]],0),MATCH(lettershopInsertFoldPricing[[#Headers],[≥ 100,000]],lettershopInsertFoldPricing[[#Headers],[≥ 1]:[≥ 150,000]],0))),2)</f>
        <v>51.63</v>
      </c>
      <c r="N147" s="158">
        <f>ROUND($D147*(1-INDEX(discounts[#All],MATCH($O147,discounts[[#All],[Discount Level]],0),MATCH(lettershopInsertFoldPricing[[#Headers],[≥ 150,000]],lettershopInsertFoldPricing[[#Headers],[≥ 1]:[≥ 150,000]],0))),2)</f>
        <v>50.51</v>
      </c>
      <c r="O147" s="16" t="s">
        <v>493</v>
      </c>
    </row>
    <row r="148" spans="1:15" ht="27" customHeight="1" x14ac:dyDescent="0.25">
      <c r="A148" s="144" t="s">
        <v>491</v>
      </c>
      <c r="B148" s="144" t="s">
        <v>504</v>
      </c>
      <c r="C148" s="151">
        <v>60</v>
      </c>
      <c r="D148" s="158">
        <v>114.8</v>
      </c>
      <c r="E148" s="158">
        <f>ROUND($D148*(1-INDEX(discounts[#All],MATCH($O148,discounts[[#All],[Discount Level]],0),MATCH(lettershopInsertFoldPricing[[#Headers],[≥ 5,000]],lettershopInsertFoldPricing[[#Headers],[≥ 1]:[≥ 150,000]],0))),2)</f>
        <v>97.58</v>
      </c>
      <c r="F148" s="158">
        <f>ROUND($D148*(1-INDEX(discounts[#All],MATCH($O148,discounts[[#All],[Discount Level]],0),MATCH(lettershopInsertFoldPricing[[#Headers],[≥ 10,000]],lettershopInsertFoldPricing[[#Headers],[≥ 1]:[≥ 150,000]],0))),2)</f>
        <v>86.1</v>
      </c>
      <c r="G148" s="158">
        <f>ROUND($D148*(1-INDEX(discounts[#All],MATCH($O148,discounts[[#All],[Discount Level]],0),MATCH(lettershopInsertFoldPricing[[#Headers],[≥ 15,000]],lettershopInsertFoldPricing[[#Headers],[≥ 1]:[≥ 150,000]],0))),2)</f>
        <v>74.62</v>
      </c>
      <c r="H148" s="158">
        <f>ROUND($D148*(1-INDEX(discounts[#All],MATCH($O148,discounts[[#All],[Discount Level]],0),MATCH(lettershopInsertFoldPricing[[#Headers],[≥ 20,000]],lettershopInsertFoldPricing[[#Headers],[≥ 1]:[≥ 150,000]],0))),2)</f>
        <v>68.88</v>
      </c>
      <c r="I148" s="158">
        <f>ROUND($D148*(1-INDEX(discounts[#All],MATCH($O148,discounts[[#All],[Discount Level]],0),MATCH(lettershopInsertFoldPricing[[#Headers],[≥ 25,000]],lettershopInsertFoldPricing[[#Headers],[≥ 1]:[≥ 150,000]],0))),2)</f>
        <v>63.14</v>
      </c>
      <c r="J148" s="158">
        <f>ROUND($D148*(1-INDEX(discounts[#All],MATCH($O148,discounts[[#All],[Discount Level]],0),MATCH(lettershopInsertFoldPricing[[#Headers],[≥ 35,000]],lettershopInsertFoldPricing[[#Headers],[≥ 1]:[≥ 150,000]],0))),2)</f>
        <v>57.4</v>
      </c>
      <c r="K148" s="158">
        <f>ROUND($D148*(1-INDEX(discounts[#All],MATCH($O148,discounts[[#All],[Discount Level]],0),MATCH(lettershopInsertFoldPricing[[#Headers],[≥ 50,000]],lettershopInsertFoldPricing[[#Headers],[≥ 1]:[≥ 150,000]],0))),2)</f>
        <v>55.1</v>
      </c>
      <c r="L148" s="158">
        <f>ROUND($D148*(1-INDEX(discounts[#All],MATCH($O148,discounts[[#All],[Discount Level]],0),MATCH(lettershopInsertFoldPricing[[#Headers],[≥ 75,000]],lettershopInsertFoldPricing[[#Headers],[≥ 1]:[≥ 150,000]],0))),2)</f>
        <v>53.96</v>
      </c>
      <c r="M148" s="158">
        <f>ROUND($D148*(1-INDEX(discounts[#All],MATCH($O148,discounts[[#All],[Discount Level]],0),MATCH(lettershopInsertFoldPricing[[#Headers],[≥ 100,000]],lettershopInsertFoldPricing[[#Headers],[≥ 1]:[≥ 150,000]],0))),2)</f>
        <v>52.81</v>
      </c>
      <c r="N148" s="158">
        <f>ROUND($D148*(1-INDEX(discounts[#All],MATCH($O148,discounts[[#All],[Discount Level]],0),MATCH(lettershopInsertFoldPricing[[#Headers],[≥ 150,000]],lettershopInsertFoldPricing[[#Headers],[≥ 1]:[≥ 150,000]],0))),2)</f>
        <v>51.66</v>
      </c>
      <c r="O148" s="16" t="s">
        <v>493</v>
      </c>
    </row>
    <row r="149" spans="1:15" ht="27" customHeight="1" x14ac:dyDescent="0.25">
      <c r="A149" s="144" t="s">
        <v>505</v>
      </c>
      <c r="B149" s="144" t="s">
        <v>506</v>
      </c>
      <c r="C149" s="151">
        <v>20</v>
      </c>
      <c r="D149" s="158">
        <v>18.96</v>
      </c>
      <c r="E149" s="158">
        <f>ROUND($D149*(1-INDEX(discounts[#All],MATCH($O149,discounts[[#All],[Discount Level]],0),MATCH(lettershopInsertFoldPricing[[#Headers],[≥ 5,000]],lettershopInsertFoldPricing[[#Headers],[≥ 1]:[≥ 150,000]],0))),2)</f>
        <v>18.010000000000002</v>
      </c>
      <c r="F149" s="158">
        <f>ROUND($D149*(1-INDEX(discounts[#All],MATCH($O149,discounts[[#All],[Discount Level]],0),MATCH(lettershopInsertFoldPricing[[#Headers],[≥ 10,000]],lettershopInsertFoldPricing[[#Headers],[≥ 1]:[≥ 150,000]],0))),2)</f>
        <v>17.059999999999999</v>
      </c>
      <c r="G149" s="158">
        <f>ROUND($D149*(1-INDEX(discounts[#All],MATCH($O149,discounts[[#All],[Discount Level]],0),MATCH(lettershopInsertFoldPricing[[#Headers],[≥ 15,000]],lettershopInsertFoldPricing[[#Headers],[≥ 1]:[≥ 150,000]],0))),2)</f>
        <v>16.12</v>
      </c>
      <c r="H149" s="158">
        <f>ROUND($D149*(1-INDEX(discounts[#All],MATCH($O149,discounts[[#All],[Discount Level]],0),MATCH(lettershopInsertFoldPricing[[#Headers],[≥ 20,000]],lettershopInsertFoldPricing[[#Headers],[≥ 1]:[≥ 150,000]],0))),2)</f>
        <v>15.17</v>
      </c>
      <c r="I149" s="158">
        <f>ROUND($D149*(1-INDEX(discounts[#All],MATCH($O149,discounts[[#All],[Discount Level]],0),MATCH(lettershopInsertFoldPricing[[#Headers],[≥ 25,000]],lettershopInsertFoldPricing[[#Headers],[≥ 1]:[≥ 150,000]],0))),2)</f>
        <v>14.22</v>
      </c>
      <c r="J149" s="158">
        <f>ROUND($D149*(1-INDEX(discounts[#All],MATCH($O149,discounts[[#All],[Discount Level]],0),MATCH(lettershopInsertFoldPricing[[#Headers],[≥ 35,000]],lettershopInsertFoldPricing[[#Headers],[≥ 1]:[≥ 150,000]],0))),2)</f>
        <v>13.27</v>
      </c>
      <c r="K149" s="158">
        <f>ROUND($D149*(1-INDEX(discounts[#All],MATCH($O149,discounts[[#All],[Discount Level]],0),MATCH(lettershopInsertFoldPricing[[#Headers],[≥ 50,000]],lettershopInsertFoldPricing[[#Headers],[≥ 1]:[≥ 150,000]],0))),2)</f>
        <v>12.32</v>
      </c>
      <c r="L149" s="158">
        <f>ROUND($D149*(1-INDEX(discounts[#All],MATCH($O149,discounts[[#All],[Discount Level]],0),MATCH(lettershopInsertFoldPricing[[#Headers],[≥ 75,000]],lettershopInsertFoldPricing[[#Headers],[≥ 1]:[≥ 150,000]],0))),2)</f>
        <v>11.85</v>
      </c>
      <c r="M149" s="158">
        <f>ROUND($D149*(1-INDEX(discounts[#All],MATCH($O149,discounts[[#All],[Discount Level]],0),MATCH(lettershopInsertFoldPricing[[#Headers],[≥ 100,000]],lettershopInsertFoldPricing[[#Headers],[≥ 1]:[≥ 150,000]],0))),2)</f>
        <v>11.38</v>
      </c>
      <c r="N149" s="158">
        <f>ROUND($D149*(1-INDEX(discounts[#All],MATCH($O149,discounts[[#All],[Discount Level]],0),MATCH(lettershopInsertFoldPricing[[#Headers],[≥ 150,000]],lettershopInsertFoldPricing[[#Headers],[≥ 1]:[≥ 150,000]],0))),2)</f>
        <v>10.9</v>
      </c>
      <c r="O149" s="16" t="s">
        <v>379</v>
      </c>
    </row>
    <row r="150" spans="1:15" ht="27" customHeight="1" x14ac:dyDescent="0.25">
      <c r="A150" s="144" t="s">
        <v>505</v>
      </c>
      <c r="B150" s="144" t="s">
        <v>507</v>
      </c>
      <c r="C150" s="151">
        <v>25</v>
      </c>
      <c r="D150" s="158">
        <v>29.73</v>
      </c>
      <c r="E150" s="158">
        <f>ROUND($D150*(1-INDEX(discounts[#All],MATCH($O150,discounts[[#All],[Discount Level]],0),MATCH(lettershopInsertFoldPricing[[#Headers],[≥ 5,000]],lettershopInsertFoldPricing[[#Headers],[≥ 1]:[≥ 150,000]],0))),2)</f>
        <v>28.24</v>
      </c>
      <c r="F150" s="158">
        <f>ROUND($D150*(1-INDEX(discounts[#All],MATCH($O150,discounts[[#All],[Discount Level]],0),MATCH(lettershopInsertFoldPricing[[#Headers],[≥ 10,000]],lettershopInsertFoldPricing[[#Headers],[≥ 1]:[≥ 150,000]],0))),2)</f>
        <v>26.76</v>
      </c>
      <c r="G150" s="158">
        <f>ROUND($D150*(1-INDEX(discounts[#All],MATCH($O150,discounts[[#All],[Discount Level]],0),MATCH(lettershopInsertFoldPricing[[#Headers],[≥ 15,000]],lettershopInsertFoldPricing[[#Headers],[≥ 1]:[≥ 150,000]],0))),2)</f>
        <v>25.27</v>
      </c>
      <c r="H150" s="158">
        <f>ROUND($D150*(1-INDEX(discounts[#All],MATCH($O150,discounts[[#All],[Discount Level]],0),MATCH(lettershopInsertFoldPricing[[#Headers],[≥ 20,000]],lettershopInsertFoldPricing[[#Headers],[≥ 1]:[≥ 150,000]],0))),2)</f>
        <v>23.78</v>
      </c>
      <c r="I150" s="158">
        <f>ROUND($D150*(1-INDEX(discounts[#All],MATCH($O150,discounts[[#All],[Discount Level]],0),MATCH(lettershopInsertFoldPricing[[#Headers],[≥ 25,000]],lettershopInsertFoldPricing[[#Headers],[≥ 1]:[≥ 150,000]],0))),2)</f>
        <v>22.3</v>
      </c>
      <c r="J150" s="158">
        <f>ROUND($D150*(1-INDEX(discounts[#All],MATCH($O150,discounts[[#All],[Discount Level]],0),MATCH(lettershopInsertFoldPricing[[#Headers],[≥ 35,000]],lettershopInsertFoldPricing[[#Headers],[≥ 1]:[≥ 150,000]],0))),2)</f>
        <v>20.81</v>
      </c>
      <c r="K150" s="158">
        <f>ROUND($D150*(1-INDEX(discounts[#All],MATCH($O150,discounts[[#All],[Discount Level]],0),MATCH(lettershopInsertFoldPricing[[#Headers],[≥ 50,000]],lettershopInsertFoldPricing[[#Headers],[≥ 1]:[≥ 150,000]],0))),2)</f>
        <v>19.32</v>
      </c>
      <c r="L150" s="158">
        <f>ROUND($D150*(1-INDEX(discounts[#All],MATCH($O150,discounts[[#All],[Discount Level]],0),MATCH(lettershopInsertFoldPricing[[#Headers],[≥ 75,000]],lettershopInsertFoldPricing[[#Headers],[≥ 1]:[≥ 150,000]],0))),2)</f>
        <v>18.579999999999998</v>
      </c>
      <c r="M150" s="158">
        <f>ROUND($D150*(1-INDEX(discounts[#All],MATCH($O150,discounts[[#All],[Discount Level]],0),MATCH(lettershopInsertFoldPricing[[#Headers],[≥ 100,000]],lettershopInsertFoldPricing[[#Headers],[≥ 1]:[≥ 150,000]],0))),2)</f>
        <v>17.84</v>
      </c>
      <c r="N150" s="158">
        <f>ROUND($D150*(1-INDEX(discounts[#All],MATCH($O150,discounts[[#All],[Discount Level]],0),MATCH(lettershopInsertFoldPricing[[#Headers],[≥ 150,000]],lettershopInsertFoldPricing[[#Headers],[≥ 1]:[≥ 150,000]],0))),2)</f>
        <v>17.09</v>
      </c>
      <c r="O150" s="16" t="s">
        <v>379</v>
      </c>
    </row>
    <row r="151" spans="1:15" ht="27" customHeight="1" x14ac:dyDescent="0.25">
      <c r="A151" s="144" t="s">
        <v>505</v>
      </c>
      <c r="B151" s="144" t="s">
        <v>508</v>
      </c>
      <c r="C151" s="151">
        <v>25</v>
      </c>
      <c r="D151" s="158">
        <v>31.78</v>
      </c>
      <c r="E151" s="158">
        <f>ROUND($D151*(1-INDEX(discounts[#All],MATCH($O151,discounts[[#All],[Discount Level]],0),MATCH(lettershopInsertFoldPricing[[#Headers],[≥ 5,000]],lettershopInsertFoldPricing[[#Headers],[≥ 1]:[≥ 150,000]],0))),2)</f>
        <v>30.19</v>
      </c>
      <c r="F151" s="158">
        <f>ROUND($D151*(1-INDEX(discounts[#All],MATCH($O151,discounts[[#All],[Discount Level]],0),MATCH(lettershopInsertFoldPricing[[#Headers],[≥ 10,000]],lettershopInsertFoldPricing[[#Headers],[≥ 1]:[≥ 150,000]],0))),2)</f>
        <v>28.6</v>
      </c>
      <c r="G151" s="158">
        <f>ROUND($D151*(1-INDEX(discounts[#All],MATCH($O151,discounts[[#All],[Discount Level]],0),MATCH(lettershopInsertFoldPricing[[#Headers],[≥ 15,000]],lettershopInsertFoldPricing[[#Headers],[≥ 1]:[≥ 150,000]],0))),2)</f>
        <v>27.01</v>
      </c>
      <c r="H151" s="158">
        <f>ROUND($D151*(1-INDEX(discounts[#All],MATCH($O151,discounts[[#All],[Discount Level]],0),MATCH(lettershopInsertFoldPricing[[#Headers],[≥ 20,000]],lettershopInsertFoldPricing[[#Headers],[≥ 1]:[≥ 150,000]],0))),2)</f>
        <v>25.42</v>
      </c>
      <c r="I151" s="158">
        <f>ROUND($D151*(1-INDEX(discounts[#All],MATCH($O151,discounts[[#All],[Discount Level]],0),MATCH(lettershopInsertFoldPricing[[#Headers],[≥ 25,000]],lettershopInsertFoldPricing[[#Headers],[≥ 1]:[≥ 150,000]],0))),2)</f>
        <v>23.84</v>
      </c>
      <c r="J151" s="158">
        <f>ROUND($D151*(1-INDEX(discounts[#All],MATCH($O151,discounts[[#All],[Discount Level]],0),MATCH(lettershopInsertFoldPricing[[#Headers],[≥ 35,000]],lettershopInsertFoldPricing[[#Headers],[≥ 1]:[≥ 150,000]],0))),2)</f>
        <v>22.25</v>
      </c>
      <c r="K151" s="158">
        <f>ROUND($D151*(1-INDEX(discounts[#All],MATCH($O151,discounts[[#All],[Discount Level]],0),MATCH(lettershopInsertFoldPricing[[#Headers],[≥ 50,000]],lettershopInsertFoldPricing[[#Headers],[≥ 1]:[≥ 150,000]],0))),2)</f>
        <v>20.66</v>
      </c>
      <c r="L151" s="158">
        <f>ROUND($D151*(1-INDEX(discounts[#All],MATCH($O151,discounts[[#All],[Discount Level]],0),MATCH(lettershopInsertFoldPricing[[#Headers],[≥ 75,000]],lettershopInsertFoldPricing[[#Headers],[≥ 1]:[≥ 150,000]],0))),2)</f>
        <v>19.86</v>
      </c>
      <c r="M151" s="158">
        <f>ROUND($D151*(1-INDEX(discounts[#All],MATCH($O151,discounts[[#All],[Discount Level]],0),MATCH(lettershopInsertFoldPricing[[#Headers],[≥ 100,000]],lettershopInsertFoldPricing[[#Headers],[≥ 1]:[≥ 150,000]],0))),2)</f>
        <v>19.07</v>
      </c>
      <c r="N151" s="158">
        <f>ROUND($D151*(1-INDEX(discounts[#All],MATCH($O151,discounts[[#All],[Discount Level]],0),MATCH(lettershopInsertFoldPricing[[#Headers],[≥ 150,000]],lettershopInsertFoldPricing[[#Headers],[≥ 1]:[≥ 150,000]],0))),2)</f>
        <v>18.27</v>
      </c>
      <c r="O151" s="16" t="s">
        <v>379</v>
      </c>
    </row>
    <row r="152" spans="1:15" ht="27" customHeight="1" x14ac:dyDescent="0.25">
      <c r="A152" s="144" t="s">
        <v>505</v>
      </c>
      <c r="B152" s="144" t="s">
        <v>509</v>
      </c>
      <c r="C152" s="151">
        <v>25</v>
      </c>
      <c r="D152" s="158">
        <v>21.53</v>
      </c>
      <c r="E152" s="158">
        <f>ROUND($D152*(1-INDEX(discounts[#All],MATCH($O152,discounts[[#All],[Discount Level]],0),MATCH(lettershopInsertFoldPricing[[#Headers],[≥ 5,000]],lettershopInsertFoldPricing[[#Headers],[≥ 1]:[≥ 150,000]],0))),2)</f>
        <v>20.45</v>
      </c>
      <c r="F152" s="158">
        <f>ROUND($D152*(1-INDEX(discounts[#All],MATCH($O152,discounts[[#All],[Discount Level]],0),MATCH(lettershopInsertFoldPricing[[#Headers],[≥ 10,000]],lettershopInsertFoldPricing[[#Headers],[≥ 1]:[≥ 150,000]],0))),2)</f>
        <v>19.38</v>
      </c>
      <c r="G152" s="158">
        <f>ROUND($D152*(1-INDEX(discounts[#All],MATCH($O152,discounts[[#All],[Discount Level]],0),MATCH(lettershopInsertFoldPricing[[#Headers],[≥ 15,000]],lettershopInsertFoldPricing[[#Headers],[≥ 1]:[≥ 150,000]],0))),2)</f>
        <v>18.3</v>
      </c>
      <c r="H152" s="158">
        <f>ROUND($D152*(1-INDEX(discounts[#All],MATCH($O152,discounts[[#All],[Discount Level]],0),MATCH(lettershopInsertFoldPricing[[#Headers],[≥ 20,000]],lettershopInsertFoldPricing[[#Headers],[≥ 1]:[≥ 150,000]],0))),2)</f>
        <v>17.22</v>
      </c>
      <c r="I152" s="158">
        <f>ROUND($D152*(1-INDEX(discounts[#All],MATCH($O152,discounts[[#All],[Discount Level]],0),MATCH(lettershopInsertFoldPricing[[#Headers],[≥ 25,000]],lettershopInsertFoldPricing[[#Headers],[≥ 1]:[≥ 150,000]],0))),2)</f>
        <v>16.149999999999999</v>
      </c>
      <c r="J152" s="158">
        <f>ROUND($D152*(1-INDEX(discounts[#All],MATCH($O152,discounts[[#All],[Discount Level]],0),MATCH(lettershopInsertFoldPricing[[#Headers],[≥ 35,000]],lettershopInsertFoldPricing[[#Headers],[≥ 1]:[≥ 150,000]],0))),2)</f>
        <v>15.07</v>
      </c>
      <c r="K152" s="158">
        <f>ROUND($D152*(1-INDEX(discounts[#All],MATCH($O152,discounts[[#All],[Discount Level]],0),MATCH(lettershopInsertFoldPricing[[#Headers],[≥ 50,000]],lettershopInsertFoldPricing[[#Headers],[≥ 1]:[≥ 150,000]],0))),2)</f>
        <v>13.99</v>
      </c>
      <c r="L152" s="158">
        <f>ROUND($D152*(1-INDEX(discounts[#All],MATCH($O152,discounts[[#All],[Discount Level]],0),MATCH(lettershopInsertFoldPricing[[#Headers],[≥ 75,000]],lettershopInsertFoldPricing[[#Headers],[≥ 1]:[≥ 150,000]],0))),2)</f>
        <v>13.46</v>
      </c>
      <c r="M152" s="158">
        <f>ROUND($D152*(1-INDEX(discounts[#All],MATCH($O152,discounts[[#All],[Discount Level]],0),MATCH(lettershopInsertFoldPricing[[#Headers],[≥ 100,000]],lettershopInsertFoldPricing[[#Headers],[≥ 1]:[≥ 150,000]],0))),2)</f>
        <v>12.92</v>
      </c>
      <c r="N152" s="158">
        <f>ROUND($D152*(1-INDEX(discounts[#All],MATCH($O152,discounts[[#All],[Discount Level]],0),MATCH(lettershopInsertFoldPricing[[#Headers],[≥ 150,000]],lettershopInsertFoldPricing[[#Headers],[≥ 1]:[≥ 150,000]],0))),2)</f>
        <v>12.38</v>
      </c>
      <c r="O152" s="16" t="s">
        <v>379</v>
      </c>
    </row>
    <row r="153" spans="1:15" ht="27" customHeight="1" x14ac:dyDescent="0.25">
      <c r="A153" s="144" t="s">
        <v>505</v>
      </c>
      <c r="B153" s="144" t="s">
        <v>510</v>
      </c>
      <c r="C153" s="151">
        <v>20</v>
      </c>
      <c r="D153" s="158">
        <v>21.53</v>
      </c>
      <c r="E153" s="158">
        <f>ROUND($D153*(1-INDEX(discounts[#All],MATCH($O153,discounts[[#All],[Discount Level]],0),MATCH(lettershopInsertFoldPricing[[#Headers],[≥ 5,000]],lettershopInsertFoldPricing[[#Headers],[≥ 1]:[≥ 150,000]],0))),2)</f>
        <v>20.45</v>
      </c>
      <c r="F153" s="158">
        <f>ROUND($D153*(1-INDEX(discounts[#All],MATCH($O153,discounts[[#All],[Discount Level]],0),MATCH(lettershopInsertFoldPricing[[#Headers],[≥ 10,000]],lettershopInsertFoldPricing[[#Headers],[≥ 1]:[≥ 150,000]],0))),2)</f>
        <v>19.38</v>
      </c>
      <c r="G153" s="158">
        <f>ROUND($D153*(1-INDEX(discounts[#All],MATCH($O153,discounts[[#All],[Discount Level]],0),MATCH(lettershopInsertFoldPricing[[#Headers],[≥ 15,000]],lettershopInsertFoldPricing[[#Headers],[≥ 1]:[≥ 150,000]],0))),2)</f>
        <v>18.3</v>
      </c>
      <c r="H153" s="158">
        <f>ROUND($D153*(1-INDEX(discounts[#All],MATCH($O153,discounts[[#All],[Discount Level]],0),MATCH(lettershopInsertFoldPricing[[#Headers],[≥ 20,000]],lettershopInsertFoldPricing[[#Headers],[≥ 1]:[≥ 150,000]],0))),2)</f>
        <v>17.22</v>
      </c>
      <c r="I153" s="158">
        <f>ROUND($D153*(1-INDEX(discounts[#All],MATCH($O153,discounts[[#All],[Discount Level]],0),MATCH(lettershopInsertFoldPricing[[#Headers],[≥ 25,000]],lettershopInsertFoldPricing[[#Headers],[≥ 1]:[≥ 150,000]],0))),2)</f>
        <v>16.149999999999999</v>
      </c>
      <c r="J153" s="158">
        <f>ROUND($D153*(1-INDEX(discounts[#All],MATCH($O153,discounts[[#All],[Discount Level]],0),MATCH(lettershopInsertFoldPricing[[#Headers],[≥ 35,000]],lettershopInsertFoldPricing[[#Headers],[≥ 1]:[≥ 150,000]],0))),2)</f>
        <v>15.07</v>
      </c>
      <c r="K153" s="158">
        <f>ROUND($D153*(1-INDEX(discounts[#All],MATCH($O153,discounts[[#All],[Discount Level]],0),MATCH(lettershopInsertFoldPricing[[#Headers],[≥ 50,000]],lettershopInsertFoldPricing[[#Headers],[≥ 1]:[≥ 150,000]],0))),2)</f>
        <v>13.99</v>
      </c>
      <c r="L153" s="158">
        <f>ROUND($D153*(1-INDEX(discounts[#All],MATCH($O153,discounts[[#All],[Discount Level]],0),MATCH(lettershopInsertFoldPricing[[#Headers],[≥ 75,000]],lettershopInsertFoldPricing[[#Headers],[≥ 1]:[≥ 150,000]],0))),2)</f>
        <v>13.46</v>
      </c>
      <c r="M153" s="158">
        <f>ROUND($D153*(1-INDEX(discounts[#All],MATCH($O153,discounts[[#All],[Discount Level]],0),MATCH(lettershopInsertFoldPricing[[#Headers],[≥ 100,000]],lettershopInsertFoldPricing[[#Headers],[≥ 1]:[≥ 150,000]],0))),2)</f>
        <v>12.92</v>
      </c>
      <c r="N153" s="158">
        <f>ROUND($D153*(1-INDEX(discounts[#All],MATCH($O153,discounts[[#All],[Discount Level]],0),MATCH(lettershopInsertFoldPricing[[#Headers],[≥ 150,000]],lettershopInsertFoldPricing[[#Headers],[≥ 1]:[≥ 150,000]],0))),2)</f>
        <v>12.38</v>
      </c>
      <c r="O153" s="16" t="s">
        <v>379</v>
      </c>
    </row>
    <row r="154" spans="1:15" ht="27" customHeight="1" x14ac:dyDescent="0.25">
      <c r="A154" s="144" t="s">
        <v>505</v>
      </c>
      <c r="B154" s="144" t="s">
        <v>511</v>
      </c>
      <c r="C154" s="151">
        <v>20</v>
      </c>
      <c r="D154" s="158">
        <v>29.73</v>
      </c>
      <c r="E154" s="158">
        <f>ROUND($D154*(1-INDEX(discounts[#All],MATCH($O154,discounts[[#All],[Discount Level]],0),MATCH(lettershopInsertFoldPricing[[#Headers],[≥ 5,000]],lettershopInsertFoldPricing[[#Headers],[≥ 1]:[≥ 150,000]],0))),2)</f>
        <v>28.24</v>
      </c>
      <c r="F154" s="158">
        <f>ROUND($D154*(1-INDEX(discounts[#All],MATCH($O154,discounts[[#All],[Discount Level]],0),MATCH(lettershopInsertFoldPricing[[#Headers],[≥ 10,000]],lettershopInsertFoldPricing[[#Headers],[≥ 1]:[≥ 150,000]],0))),2)</f>
        <v>26.76</v>
      </c>
      <c r="G154" s="158">
        <f>ROUND($D154*(1-INDEX(discounts[#All],MATCH($O154,discounts[[#All],[Discount Level]],0),MATCH(lettershopInsertFoldPricing[[#Headers],[≥ 15,000]],lettershopInsertFoldPricing[[#Headers],[≥ 1]:[≥ 150,000]],0))),2)</f>
        <v>25.27</v>
      </c>
      <c r="H154" s="158">
        <f>ROUND($D154*(1-INDEX(discounts[#All],MATCH($O154,discounts[[#All],[Discount Level]],0),MATCH(lettershopInsertFoldPricing[[#Headers],[≥ 20,000]],lettershopInsertFoldPricing[[#Headers],[≥ 1]:[≥ 150,000]],0))),2)</f>
        <v>23.78</v>
      </c>
      <c r="I154" s="158">
        <f>ROUND($D154*(1-INDEX(discounts[#All],MATCH($O154,discounts[[#All],[Discount Level]],0),MATCH(lettershopInsertFoldPricing[[#Headers],[≥ 25,000]],lettershopInsertFoldPricing[[#Headers],[≥ 1]:[≥ 150,000]],0))),2)</f>
        <v>22.3</v>
      </c>
      <c r="J154" s="158">
        <f>ROUND($D154*(1-INDEX(discounts[#All],MATCH($O154,discounts[[#All],[Discount Level]],0),MATCH(lettershopInsertFoldPricing[[#Headers],[≥ 35,000]],lettershopInsertFoldPricing[[#Headers],[≥ 1]:[≥ 150,000]],0))),2)</f>
        <v>20.81</v>
      </c>
      <c r="K154" s="158">
        <f>ROUND($D154*(1-INDEX(discounts[#All],MATCH($O154,discounts[[#All],[Discount Level]],0),MATCH(lettershopInsertFoldPricing[[#Headers],[≥ 50,000]],lettershopInsertFoldPricing[[#Headers],[≥ 1]:[≥ 150,000]],0))),2)</f>
        <v>19.32</v>
      </c>
      <c r="L154" s="158">
        <f>ROUND($D154*(1-INDEX(discounts[#All],MATCH($O154,discounts[[#All],[Discount Level]],0),MATCH(lettershopInsertFoldPricing[[#Headers],[≥ 75,000]],lettershopInsertFoldPricing[[#Headers],[≥ 1]:[≥ 150,000]],0))),2)</f>
        <v>18.579999999999998</v>
      </c>
      <c r="M154" s="158">
        <f>ROUND($D154*(1-INDEX(discounts[#All],MATCH($O154,discounts[[#All],[Discount Level]],0),MATCH(lettershopInsertFoldPricing[[#Headers],[≥ 100,000]],lettershopInsertFoldPricing[[#Headers],[≥ 1]:[≥ 150,000]],0))),2)</f>
        <v>17.84</v>
      </c>
      <c r="N154" s="158">
        <f>ROUND($D154*(1-INDEX(discounts[#All],MATCH($O154,discounts[[#All],[Discount Level]],0),MATCH(lettershopInsertFoldPricing[[#Headers],[≥ 150,000]],lettershopInsertFoldPricing[[#Headers],[≥ 1]:[≥ 150,000]],0))),2)</f>
        <v>17.09</v>
      </c>
      <c r="O154" s="16" t="s">
        <v>379</v>
      </c>
    </row>
    <row r="156" spans="1:15" ht="27" customHeight="1" x14ac:dyDescent="0.25">
      <c r="A156" s="181" t="s">
        <v>512</v>
      </c>
      <c r="B156" s="181"/>
      <c r="C156" s="182"/>
    </row>
    <row r="157" spans="1:15" s="11" customFormat="1" ht="27" customHeight="1" x14ac:dyDescent="0.25">
      <c r="A157" s="137" t="s">
        <v>276</v>
      </c>
      <c r="B157" s="137" t="s">
        <v>277</v>
      </c>
      <c r="C157" s="138" t="s">
        <v>278</v>
      </c>
    </row>
    <row r="158" spans="1:15" ht="27" customHeight="1" x14ac:dyDescent="0.25">
      <c r="A158" s="183"/>
      <c r="B158" s="184" t="s">
        <v>513</v>
      </c>
      <c r="C158" s="185">
        <v>20</v>
      </c>
    </row>
    <row r="159" spans="1:15" ht="27" customHeight="1" x14ac:dyDescent="0.25">
      <c r="A159" s="186"/>
      <c r="B159" s="187" t="s">
        <v>514</v>
      </c>
      <c r="C159" s="173">
        <v>1</v>
      </c>
    </row>
    <row r="160" spans="1:15" ht="27" customHeight="1" x14ac:dyDescent="0.25">
      <c r="A160" s="188"/>
      <c r="B160" s="141" t="s">
        <v>515</v>
      </c>
      <c r="C160" s="142">
        <v>1.5</v>
      </c>
    </row>
    <row r="162" spans="1:15" ht="27" customHeight="1" x14ac:dyDescent="0.25">
      <c r="A162" s="146" t="s">
        <v>516</v>
      </c>
      <c r="B162" s="146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</row>
    <row r="163" spans="1:15" s="11" customFormat="1" ht="27" customHeight="1" x14ac:dyDescent="0.25">
      <c r="A163" s="137" t="s">
        <v>276</v>
      </c>
      <c r="B163" s="137" t="s">
        <v>277</v>
      </c>
      <c r="C163" s="138" t="s">
        <v>517</v>
      </c>
      <c r="D163" s="155" t="s">
        <v>367</v>
      </c>
      <c r="E163" s="155" t="s">
        <v>413</v>
      </c>
      <c r="F163" s="155" t="s">
        <v>414</v>
      </c>
      <c r="G163" s="155" t="s">
        <v>415</v>
      </c>
      <c r="H163" s="155" t="s">
        <v>416</v>
      </c>
      <c r="I163" s="155" t="s">
        <v>417</v>
      </c>
      <c r="J163" s="155" t="s">
        <v>418</v>
      </c>
      <c r="K163" s="155" t="s">
        <v>419</v>
      </c>
      <c r="L163" s="155" t="s">
        <v>420</v>
      </c>
      <c r="M163" s="155" t="s">
        <v>421</v>
      </c>
      <c r="N163" s="155" t="s">
        <v>422</v>
      </c>
      <c r="O163" s="155" t="s">
        <v>376</v>
      </c>
    </row>
    <row r="164" spans="1:15" ht="27" customHeight="1" x14ac:dyDescent="0.25">
      <c r="A164" s="144" t="s">
        <v>518</v>
      </c>
      <c r="B164" s="144" t="s">
        <v>519</v>
      </c>
      <c r="C164" s="151">
        <v>25</v>
      </c>
      <c r="D164" s="158">
        <v>21.01</v>
      </c>
      <c r="E164" s="158">
        <f>ROUND($D164*(1-INDEX(discounts[#All],MATCH($O164,discounts[[#All],[Discount Level]],0),MATCH(Table29[[#Headers],[≥ 5,000]],Table29[[#Headers],[≥ 1]:[≥ 150,000]],0))),2)</f>
        <v>19.43</v>
      </c>
      <c r="F164" s="158">
        <f>ROUND($D164*(1-INDEX(discounts[#All],MATCH($O164,discounts[[#All],[Discount Level]],0),MATCH(Table29[[#Headers],[≥ 10,000]],Table29[[#Headers],[≥ 1]:[≥ 150,000]],0))),2)</f>
        <v>18.38</v>
      </c>
      <c r="G164" s="158">
        <f>ROUND($D164*(1-INDEX(discounts[#All],MATCH($O164,discounts[[#All],[Discount Level]],0),MATCH(Table29[[#Headers],[≥ 15,000]],Table29[[#Headers],[≥ 1]:[≥ 150,000]],0))),2)</f>
        <v>17.329999999999998</v>
      </c>
      <c r="H164" s="158">
        <f>ROUND($D164*(1-INDEX(discounts[#All],MATCH($O164,discounts[[#All],[Discount Level]],0),MATCH(Table29[[#Headers],[≥ 20,000]],Table29[[#Headers],[≥ 1]:[≥ 150,000]],0))),2)</f>
        <v>16.809999999999999</v>
      </c>
      <c r="I164" s="158">
        <f>ROUND($D164*(1-INDEX(discounts[#All],MATCH($O164,discounts[[#All],[Discount Level]],0),MATCH(Table29[[#Headers],[≥ 25,000]],Table29[[#Headers],[≥ 1]:[≥ 150,000]],0))),2)</f>
        <v>16.28</v>
      </c>
      <c r="J164" s="158">
        <f>ROUND($D164*(1-INDEX(discounts[#All],MATCH($O164,discounts[[#All],[Discount Level]],0),MATCH(Table29[[#Headers],[≥ 35,000]],Table29[[#Headers],[≥ 1]:[≥ 150,000]],0))),2)</f>
        <v>15.76</v>
      </c>
      <c r="K164" s="158">
        <f>ROUND($D164*(1-INDEX(discounts[#All],MATCH($O164,discounts[[#All],[Discount Level]],0),MATCH(Table29[[#Headers],[≥ 50,000]],Table29[[#Headers],[≥ 1]:[≥ 150,000]],0))),2)</f>
        <v>15.23</v>
      </c>
      <c r="L164" s="158">
        <f>ROUND($D164*(1-INDEX(discounts[#All],MATCH($O164,discounts[[#All],[Discount Level]],0),MATCH(Table29[[#Headers],[≥ 75,000]],Table29[[#Headers],[≥ 1]:[≥ 150,000]],0))),2)</f>
        <v>14.71</v>
      </c>
      <c r="M164" s="158">
        <f>ROUND($D164*(1-INDEX(discounts[#All],MATCH($O164,discounts[[#All],[Discount Level]],0),MATCH(Table29[[#Headers],[≥ 100,000]],Table29[[#Headers],[≥ 1]:[≥ 150,000]],0))),2)</f>
        <v>14.18</v>
      </c>
      <c r="N164" s="158">
        <f>ROUND($D164*(1-INDEX(discounts[#All],MATCH($O164,discounts[[#All],[Discount Level]],0),MATCH(Table29[[#Headers],[≥ 150,000]],Table29[[#Headers],[≥ 1]:[≥ 150,000]],0))),2)</f>
        <v>13.66</v>
      </c>
      <c r="O164" s="16" t="s">
        <v>520</v>
      </c>
    </row>
    <row r="165" spans="1:15" ht="27" customHeight="1" x14ac:dyDescent="0.25">
      <c r="A165" s="144" t="s">
        <v>518</v>
      </c>
      <c r="B165" s="144" t="s">
        <v>521</v>
      </c>
      <c r="C165" s="151">
        <v>25</v>
      </c>
      <c r="D165" s="158">
        <v>23.06</v>
      </c>
      <c r="E165" s="158">
        <f>ROUND($D165*(1-INDEX(discounts[#All],MATCH($O165,discounts[[#All],[Discount Level]],0),MATCH(Table29[[#Headers],[≥ 5,000]],Table29[[#Headers],[≥ 1]:[≥ 150,000]],0))),2)</f>
        <v>21.33</v>
      </c>
      <c r="F165" s="158">
        <f>ROUND($D165*(1-INDEX(discounts[#All],MATCH($O165,discounts[[#All],[Discount Level]],0),MATCH(Table29[[#Headers],[≥ 10,000]],Table29[[#Headers],[≥ 1]:[≥ 150,000]],0))),2)</f>
        <v>20.18</v>
      </c>
      <c r="G165" s="158">
        <f>ROUND($D165*(1-INDEX(discounts[#All],MATCH($O165,discounts[[#All],[Discount Level]],0),MATCH(Table29[[#Headers],[≥ 15,000]],Table29[[#Headers],[≥ 1]:[≥ 150,000]],0))),2)</f>
        <v>19.02</v>
      </c>
      <c r="H165" s="158">
        <f>ROUND($D165*(1-INDEX(discounts[#All],MATCH($O165,discounts[[#All],[Discount Level]],0),MATCH(Table29[[#Headers],[≥ 20,000]],Table29[[#Headers],[≥ 1]:[≥ 150,000]],0))),2)</f>
        <v>18.45</v>
      </c>
      <c r="I165" s="158">
        <f>ROUND($D165*(1-INDEX(discounts[#All],MATCH($O165,discounts[[#All],[Discount Level]],0),MATCH(Table29[[#Headers],[≥ 25,000]],Table29[[#Headers],[≥ 1]:[≥ 150,000]],0))),2)</f>
        <v>17.87</v>
      </c>
      <c r="J165" s="158">
        <f>ROUND($D165*(1-INDEX(discounts[#All],MATCH($O165,discounts[[#All],[Discount Level]],0),MATCH(Table29[[#Headers],[≥ 35,000]],Table29[[#Headers],[≥ 1]:[≥ 150,000]],0))),2)</f>
        <v>17.3</v>
      </c>
      <c r="K165" s="158">
        <f>ROUND($D165*(1-INDEX(discounts[#All],MATCH($O165,discounts[[#All],[Discount Level]],0),MATCH(Table29[[#Headers],[≥ 50,000]],Table29[[#Headers],[≥ 1]:[≥ 150,000]],0))),2)</f>
        <v>16.72</v>
      </c>
      <c r="L165" s="158">
        <f>ROUND($D165*(1-INDEX(discounts[#All],MATCH($O165,discounts[[#All],[Discount Level]],0),MATCH(Table29[[#Headers],[≥ 75,000]],Table29[[#Headers],[≥ 1]:[≥ 150,000]],0))),2)</f>
        <v>16.14</v>
      </c>
      <c r="M165" s="158">
        <f>ROUND($D165*(1-INDEX(discounts[#All],MATCH($O165,discounts[[#All],[Discount Level]],0),MATCH(Table29[[#Headers],[≥ 100,000]],Table29[[#Headers],[≥ 1]:[≥ 150,000]],0))),2)</f>
        <v>15.57</v>
      </c>
      <c r="N165" s="158">
        <f>ROUND($D165*(1-INDEX(discounts[#All],MATCH($O165,discounts[[#All],[Discount Level]],0),MATCH(Table29[[#Headers],[≥ 150,000]],Table29[[#Headers],[≥ 1]:[≥ 150,000]],0))),2)</f>
        <v>14.99</v>
      </c>
      <c r="O165" s="16" t="s">
        <v>520</v>
      </c>
    </row>
    <row r="166" spans="1:15" ht="27" customHeight="1" x14ac:dyDescent="0.25">
      <c r="A166" s="144" t="s">
        <v>518</v>
      </c>
      <c r="B166" s="144" t="s">
        <v>522</v>
      </c>
      <c r="C166" s="151">
        <v>30</v>
      </c>
      <c r="D166" s="158">
        <v>48.18</v>
      </c>
      <c r="E166" s="158">
        <f>ROUND($D166*(1-INDEX(discounts[#All],MATCH($O166,discounts[[#All],[Discount Level]],0),MATCH(Table29[[#Headers],[≥ 5,000]],Table29[[#Headers],[≥ 1]:[≥ 150,000]],0))),2)</f>
        <v>44.57</v>
      </c>
      <c r="F166" s="158">
        <f>ROUND($D166*(1-INDEX(discounts[#All],MATCH($O166,discounts[[#All],[Discount Level]],0),MATCH(Table29[[#Headers],[≥ 10,000]],Table29[[#Headers],[≥ 1]:[≥ 150,000]],0))),2)</f>
        <v>42.16</v>
      </c>
      <c r="G166" s="158">
        <f>ROUND($D166*(1-INDEX(discounts[#All],MATCH($O166,discounts[[#All],[Discount Level]],0),MATCH(Table29[[#Headers],[≥ 15,000]],Table29[[#Headers],[≥ 1]:[≥ 150,000]],0))),2)</f>
        <v>39.75</v>
      </c>
      <c r="H166" s="158">
        <f>ROUND($D166*(1-INDEX(discounts[#All],MATCH($O166,discounts[[#All],[Discount Level]],0),MATCH(Table29[[#Headers],[≥ 20,000]],Table29[[#Headers],[≥ 1]:[≥ 150,000]],0))),2)</f>
        <v>38.54</v>
      </c>
      <c r="I166" s="158">
        <f>ROUND($D166*(1-INDEX(discounts[#All],MATCH($O166,discounts[[#All],[Discount Level]],0),MATCH(Table29[[#Headers],[≥ 25,000]],Table29[[#Headers],[≥ 1]:[≥ 150,000]],0))),2)</f>
        <v>37.340000000000003</v>
      </c>
      <c r="J166" s="158">
        <f>ROUND($D166*(1-INDEX(discounts[#All],MATCH($O166,discounts[[#All],[Discount Level]],0),MATCH(Table29[[#Headers],[≥ 35,000]],Table29[[#Headers],[≥ 1]:[≥ 150,000]],0))),2)</f>
        <v>36.14</v>
      </c>
      <c r="K166" s="158">
        <f>ROUND($D166*(1-INDEX(discounts[#All],MATCH($O166,discounts[[#All],[Discount Level]],0),MATCH(Table29[[#Headers],[≥ 50,000]],Table29[[#Headers],[≥ 1]:[≥ 150,000]],0))),2)</f>
        <v>34.93</v>
      </c>
      <c r="L166" s="158">
        <f>ROUND($D166*(1-INDEX(discounts[#All],MATCH($O166,discounts[[#All],[Discount Level]],0),MATCH(Table29[[#Headers],[≥ 75,000]],Table29[[#Headers],[≥ 1]:[≥ 150,000]],0))),2)</f>
        <v>33.729999999999997</v>
      </c>
      <c r="M166" s="158">
        <f>ROUND($D166*(1-INDEX(discounts[#All],MATCH($O166,discounts[[#All],[Discount Level]],0),MATCH(Table29[[#Headers],[≥ 100,000]],Table29[[#Headers],[≥ 1]:[≥ 150,000]],0))),2)</f>
        <v>32.520000000000003</v>
      </c>
      <c r="N166" s="158">
        <f>ROUND($D166*(1-INDEX(discounts[#All],MATCH($O166,discounts[[#All],[Discount Level]],0),MATCH(Table29[[#Headers],[≥ 150,000]],Table29[[#Headers],[≥ 1]:[≥ 150,000]],0))),2)</f>
        <v>31.32</v>
      </c>
      <c r="O166" s="16" t="s">
        <v>520</v>
      </c>
    </row>
    <row r="167" spans="1:15" ht="27" customHeight="1" x14ac:dyDescent="0.25">
      <c r="A167" s="144" t="s">
        <v>518</v>
      </c>
      <c r="B167" s="144" t="s">
        <v>523</v>
      </c>
      <c r="C167" s="151">
        <v>30</v>
      </c>
      <c r="D167" s="158">
        <v>52.28</v>
      </c>
      <c r="E167" s="158">
        <f>ROUND($D167*(1-INDEX(discounts[#All],MATCH($O167,discounts[[#All],[Discount Level]],0),MATCH(Table29[[#Headers],[≥ 5,000]],Table29[[#Headers],[≥ 1]:[≥ 150,000]],0))),2)</f>
        <v>48.36</v>
      </c>
      <c r="F167" s="158">
        <f>ROUND($D167*(1-INDEX(discounts[#All],MATCH($O167,discounts[[#All],[Discount Level]],0),MATCH(Table29[[#Headers],[≥ 10,000]],Table29[[#Headers],[≥ 1]:[≥ 150,000]],0))),2)</f>
        <v>45.75</v>
      </c>
      <c r="G167" s="158">
        <f>ROUND($D167*(1-INDEX(discounts[#All],MATCH($O167,discounts[[#All],[Discount Level]],0),MATCH(Table29[[#Headers],[≥ 15,000]],Table29[[#Headers],[≥ 1]:[≥ 150,000]],0))),2)</f>
        <v>43.13</v>
      </c>
      <c r="H167" s="158">
        <f>ROUND($D167*(1-INDEX(discounts[#All],MATCH($O167,discounts[[#All],[Discount Level]],0),MATCH(Table29[[#Headers],[≥ 20,000]],Table29[[#Headers],[≥ 1]:[≥ 150,000]],0))),2)</f>
        <v>41.82</v>
      </c>
      <c r="I167" s="158">
        <f>ROUND($D167*(1-INDEX(discounts[#All],MATCH($O167,discounts[[#All],[Discount Level]],0),MATCH(Table29[[#Headers],[≥ 25,000]],Table29[[#Headers],[≥ 1]:[≥ 150,000]],0))),2)</f>
        <v>40.520000000000003</v>
      </c>
      <c r="J167" s="158">
        <f>ROUND($D167*(1-INDEX(discounts[#All],MATCH($O167,discounts[[#All],[Discount Level]],0),MATCH(Table29[[#Headers],[≥ 35,000]],Table29[[#Headers],[≥ 1]:[≥ 150,000]],0))),2)</f>
        <v>39.21</v>
      </c>
      <c r="K167" s="158">
        <f>ROUND($D167*(1-INDEX(discounts[#All],MATCH($O167,discounts[[#All],[Discount Level]],0),MATCH(Table29[[#Headers],[≥ 50,000]],Table29[[#Headers],[≥ 1]:[≥ 150,000]],0))),2)</f>
        <v>37.9</v>
      </c>
      <c r="L167" s="158">
        <f>ROUND($D167*(1-INDEX(discounts[#All],MATCH($O167,discounts[[#All],[Discount Level]],0),MATCH(Table29[[#Headers],[≥ 75,000]],Table29[[#Headers],[≥ 1]:[≥ 150,000]],0))),2)</f>
        <v>36.6</v>
      </c>
      <c r="M167" s="158">
        <f>ROUND($D167*(1-INDEX(discounts[#All],MATCH($O167,discounts[[#All],[Discount Level]],0),MATCH(Table29[[#Headers],[≥ 100,000]],Table29[[#Headers],[≥ 1]:[≥ 150,000]],0))),2)</f>
        <v>35.29</v>
      </c>
      <c r="N167" s="158">
        <f>ROUND($D167*(1-INDEX(discounts[#All],MATCH($O167,discounts[[#All],[Discount Level]],0),MATCH(Table29[[#Headers],[≥ 150,000]],Table29[[#Headers],[≥ 1]:[≥ 150,000]],0))),2)</f>
        <v>33.979999999999997</v>
      </c>
      <c r="O167" s="16" t="s">
        <v>520</v>
      </c>
    </row>
    <row r="168" spans="1:15" ht="27" customHeight="1" x14ac:dyDescent="0.25">
      <c r="A168" s="144" t="s">
        <v>518</v>
      </c>
      <c r="B168" s="144" t="s">
        <v>524</v>
      </c>
      <c r="C168" s="151">
        <v>35</v>
      </c>
      <c r="D168" s="158">
        <v>68.16</v>
      </c>
      <c r="E168" s="158">
        <f>ROUND($D168*(1-INDEX(discounts[#All],MATCH($O168,discounts[[#All],[Discount Level]],0),MATCH(Table29[[#Headers],[≥ 5,000]],Table29[[#Headers],[≥ 1]:[≥ 150,000]],0))),2)</f>
        <v>63.05</v>
      </c>
      <c r="F168" s="158">
        <f>ROUND($D168*(1-INDEX(discounts[#All],MATCH($O168,discounts[[#All],[Discount Level]],0),MATCH(Table29[[#Headers],[≥ 10,000]],Table29[[#Headers],[≥ 1]:[≥ 150,000]],0))),2)</f>
        <v>59.64</v>
      </c>
      <c r="G168" s="158">
        <f>ROUND($D168*(1-INDEX(discounts[#All],MATCH($O168,discounts[[#All],[Discount Level]],0),MATCH(Table29[[#Headers],[≥ 15,000]],Table29[[#Headers],[≥ 1]:[≥ 150,000]],0))),2)</f>
        <v>56.23</v>
      </c>
      <c r="H168" s="158">
        <f>ROUND($D168*(1-INDEX(discounts[#All],MATCH($O168,discounts[[#All],[Discount Level]],0),MATCH(Table29[[#Headers],[≥ 20,000]],Table29[[#Headers],[≥ 1]:[≥ 150,000]],0))),2)</f>
        <v>54.53</v>
      </c>
      <c r="I168" s="158">
        <f>ROUND($D168*(1-INDEX(discounts[#All],MATCH($O168,discounts[[#All],[Discount Level]],0),MATCH(Table29[[#Headers],[≥ 25,000]],Table29[[#Headers],[≥ 1]:[≥ 150,000]],0))),2)</f>
        <v>52.82</v>
      </c>
      <c r="J168" s="158">
        <f>ROUND($D168*(1-INDEX(discounts[#All],MATCH($O168,discounts[[#All],[Discount Level]],0),MATCH(Table29[[#Headers],[≥ 35,000]],Table29[[#Headers],[≥ 1]:[≥ 150,000]],0))),2)</f>
        <v>51.12</v>
      </c>
      <c r="K168" s="158">
        <f>ROUND($D168*(1-INDEX(discounts[#All],MATCH($O168,discounts[[#All],[Discount Level]],0),MATCH(Table29[[#Headers],[≥ 50,000]],Table29[[#Headers],[≥ 1]:[≥ 150,000]],0))),2)</f>
        <v>49.42</v>
      </c>
      <c r="L168" s="158">
        <f>ROUND($D168*(1-INDEX(discounts[#All],MATCH($O168,discounts[[#All],[Discount Level]],0),MATCH(Table29[[#Headers],[≥ 75,000]],Table29[[#Headers],[≥ 1]:[≥ 150,000]],0))),2)</f>
        <v>47.71</v>
      </c>
      <c r="M168" s="158">
        <f>ROUND($D168*(1-INDEX(discounts[#All],MATCH($O168,discounts[[#All],[Discount Level]],0),MATCH(Table29[[#Headers],[≥ 100,000]],Table29[[#Headers],[≥ 1]:[≥ 150,000]],0))),2)</f>
        <v>46.01</v>
      </c>
      <c r="N168" s="158">
        <f>ROUND($D168*(1-INDEX(discounts[#All],MATCH($O168,discounts[[#All],[Discount Level]],0),MATCH(Table29[[#Headers],[≥ 150,000]],Table29[[#Headers],[≥ 1]:[≥ 150,000]],0))),2)</f>
        <v>44.3</v>
      </c>
      <c r="O168" s="16" t="s">
        <v>520</v>
      </c>
    </row>
    <row r="169" spans="1:15" ht="27" customHeight="1" x14ac:dyDescent="0.25">
      <c r="A169" s="144" t="s">
        <v>518</v>
      </c>
      <c r="B169" s="144" t="s">
        <v>525</v>
      </c>
      <c r="C169" s="151">
        <v>35</v>
      </c>
      <c r="D169" s="158">
        <v>75.34</v>
      </c>
      <c r="E169" s="158">
        <f>ROUND($D169*(1-INDEX(discounts[#All],MATCH($O169,discounts[[#All],[Discount Level]],0),MATCH(Table29[[#Headers],[≥ 5,000]],Table29[[#Headers],[≥ 1]:[≥ 150,000]],0))),2)</f>
        <v>69.69</v>
      </c>
      <c r="F169" s="158">
        <f>ROUND($D169*(1-INDEX(discounts[#All],MATCH($O169,discounts[[#All],[Discount Level]],0),MATCH(Table29[[#Headers],[≥ 10,000]],Table29[[#Headers],[≥ 1]:[≥ 150,000]],0))),2)</f>
        <v>65.92</v>
      </c>
      <c r="G169" s="158">
        <f>ROUND($D169*(1-INDEX(discounts[#All],MATCH($O169,discounts[[#All],[Discount Level]],0),MATCH(Table29[[#Headers],[≥ 15,000]],Table29[[#Headers],[≥ 1]:[≥ 150,000]],0))),2)</f>
        <v>62.16</v>
      </c>
      <c r="H169" s="158">
        <f>ROUND($D169*(1-INDEX(discounts[#All],MATCH($O169,discounts[[#All],[Discount Level]],0),MATCH(Table29[[#Headers],[≥ 20,000]],Table29[[#Headers],[≥ 1]:[≥ 150,000]],0))),2)</f>
        <v>60.27</v>
      </c>
      <c r="I169" s="158">
        <f>ROUND($D169*(1-INDEX(discounts[#All],MATCH($O169,discounts[[#All],[Discount Level]],0),MATCH(Table29[[#Headers],[≥ 25,000]],Table29[[#Headers],[≥ 1]:[≥ 150,000]],0))),2)</f>
        <v>58.39</v>
      </c>
      <c r="J169" s="158">
        <f>ROUND($D169*(1-INDEX(discounts[#All],MATCH($O169,discounts[[#All],[Discount Level]],0),MATCH(Table29[[#Headers],[≥ 35,000]],Table29[[#Headers],[≥ 1]:[≥ 150,000]],0))),2)</f>
        <v>56.51</v>
      </c>
      <c r="K169" s="158">
        <f>ROUND($D169*(1-INDEX(discounts[#All],MATCH($O169,discounts[[#All],[Discount Level]],0),MATCH(Table29[[#Headers],[≥ 50,000]],Table29[[#Headers],[≥ 1]:[≥ 150,000]],0))),2)</f>
        <v>54.62</v>
      </c>
      <c r="L169" s="158">
        <f>ROUND($D169*(1-INDEX(discounts[#All],MATCH($O169,discounts[[#All],[Discount Level]],0),MATCH(Table29[[#Headers],[≥ 75,000]],Table29[[#Headers],[≥ 1]:[≥ 150,000]],0))),2)</f>
        <v>52.74</v>
      </c>
      <c r="M169" s="158">
        <f>ROUND($D169*(1-INDEX(discounts[#All],MATCH($O169,discounts[[#All],[Discount Level]],0),MATCH(Table29[[#Headers],[≥ 100,000]],Table29[[#Headers],[≥ 1]:[≥ 150,000]],0))),2)</f>
        <v>50.85</v>
      </c>
      <c r="N169" s="158">
        <f>ROUND($D169*(1-INDEX(discounts[#All],MATCH($O169,discounts[[#All],[Discount Level]],0),MATCH(Table29[[#Headers],[≥ 150,000]],Table29[[#Headers],[≥ 1]:[≥ 150,000]],0))),2)</f>
        <v>48.97</v>
      </c>
      <c r="O169" s="16" t="s">
        <v>520</v>
      </c>
    </row>
    <row r="171" spans="1:15" ht="27" customHeight="1" x14ac:dyDescent="0.25">
      <c r="A171" s="146" t="s">
        <v>526</v>
      </c>
      <c r="B171" s="146"/>
      <c r="C171" s="147"/>
    </row>
    <row r="172" spans="1:15" s="11" customFormat="1" ht="27" customHeight="1" x14ac:dyDescent="0.25">
      <c r="A172" s="137" t="s">
        <v>276</v>
      </c>
      <c r="B172" s="137" t="s">
        <v>277</v>
      </c>
      <c r="C172" s="138" t="s">
        <v>278</v>
      </c>
    </row>
    <row r="173" spans="1:15" ht="27" customHeight="1" x14ac:dyDescent="0.25">
      <c r="A173" s="144" t="s">
        <v>527</v>
      </c>
      <c r="B173" s="144" t="s">
        <v>528</v>
      </c>
      <c r="C173" s="151">
        <v>5</v>
      </c>
    </row>
    <row r="174" spans="1:15" ht="27" customHeight="1" x14ac:dyDescent="0.25">
      <c r="A174" s="144" t="s">
        <v>527</v>
      </c>
      <c r="B174" s="144" t="s">
        <v>529</v>
      </c>
      <c r="C174" s="151">
        <v>1</v>
      </c>
    </row>
    <row r="175" spans="1:15" ht="27" customHeight="1" x14ac:dyDescent="0.25">
      <c r="A175" s="144" t="s">
        <v>530</v>
      </c>
      <c r="B175" s="144" t="s">
        <v>531</v>
      </c>
      <c r="C175" s="151">
        <v>25</v>
      </c>
    </row>
    <row r="176" spans="1:15" ht="27" customHeight="1" x14ac:dyDescent="0.25">
      <c r="A176" s="144" t="s">
        <v>532</v>
      </c>
      <c r="B176" s="144" t="s">
        <v>533</v>
      </c>
      <c r="C176" s="151">
        <v>75</v>
      </c>
    </row>
    <row r="177" spans="1:3" ht="27" customHeight="1" x14ac:dyDescent="0.25">
      <c r="A177" s="144" t="s">
        <v>532</v>
      </c>
      <c r="B177" s="144" t="s">
        <v>534</v>
      </c>
      <c r="C177" s="151">
        <v>90</v>
      </c>
    </row>
    <row r="178" spans="1:3" ht="27" customHeight="1" x14ac:dyDescent="0.25">
      <c r="A178" s="144" t="s">
        <v>532</v>
      </c>
      <c r="B178" s="144" t="s">
        <v>535</v>
      </c>
      <c r="C178" s="151">
        <v>110</v>
      </c>
    </row>
    <row r="179" spans="1:3" ht="27" customHeight="1" x14ac:dyDescent="0.25">
      <c r="A179" s="144" t="s">
        <v>532</v>
      </c>
      <c r="B179" s="144" t="s">
        <v>536</v>
      </c>
      <c r="C179" s="151">
        <v>140</v>
      </c>
    </row>
    <row r="180" spans="1:3" ht="27" customHeight="1" x14ac:dyDescent="0.25">
      <c r="A180" s="144" t="s">
        <v>527</v>
      </c>
      <c r="B180" s="144" t="s">
        <v>537</v>
      </c>
      <c r="C180" s="151">
        <v>140</v>
      </c>
    </row>
    <row r="181" spans="1:3" ht="27" customHeight="1" x14ac:dyDescent="0.25">
      <c r="A181" s="144" t="s">
        <v>538</v>
      </c>
      <c r="B181" s="144" t="s">
        <v>539</v>
      </c>
      <c r="C181" s="151">
        <v>80</v>
      </c>
    </row>
    <row r="182" spans="1:3" ht="27" customHeight="1" x14ac:dyDescent="0.25">
      <c r="A182" s="144" t="s">
        <v>538</v>
      </c>
      <c r="B182" s="144" t="s">
        <v>540</v>
      </c>
      <c r="C182" s="151">
        <v>150</v>
      </c>
    </row>
    <row r="183" spans="1:3" ht="27" customHeight="1" x14ac:dyDescent="0.25">
      <c r="A183" s="144" t="s">
        <v>541</v>
      </c>
      <c r="B183" s="144" t="s">
        <v>542</v>
      </c>
      <c r="C183" s="151">
        <v>20</v>
      </c>
    </row>
    <row r="185" spans="1:3" ht="27" customHeight="1" x14ac:dyDescent="0.25">
      <c r="A185" s="146" t="s">
        <v>543</v>
      </c>
      <c r="B185" s="146"/>
      <c r="C185" s="147"/>
    </row>
    <row r="186" spans="1:3" s="11" customFormat="1" ht="27" customHeight="1" x14ac:dyDescent="0.25">
      <c r="A186" s="137" t="s">
        <v>276</v>
      </c>
      <c r="B186" s="137" t="s">
        <v>277</v>
      </c>
      <c r="C186" s="138" t="s">
        <v>278</v>
      </c>
    </row>
    <row r="187" spans="1:3" ht="27" customHeight="1" x14ac:dyDescent="0.25">
      <c r="A187" s="144" t="s">
        <v>544</v>
      </c>
      <c r="B187" s="144" t="s">
        <v>545</v>
      </c>
      <c r="C187" s="151">
        <v>35</v>
      </c>
    </row>
    <row r="188" spans="1:3" ht="27" customHeight="1" x14ac:dyDescent="0.25">
      <c r="A188" s="144" t="s">
        <v>546</v>
      </c>
      <c r="B188" s="144" t="s">
        <v>547</v>
      </c>
      <c r="C188" s="151">
        <v>60</v>
      </c>
    </row>
    <row r="189" spans="1:3" ht="27" customHeight="1" x14ac:dyDescent="0.25">
      <c r="A189" s="144" t="s">
        <v>546</v>
      </c>
      <c r="B189" s="144" t="s">
        <v>548</v>
      </c>
      <c r="C189" s="151">
        <v>20</v>
      </c>
    </row>
    <row r="190" spans="1:3" ht="27" customHeight="1" x14ac:dyDescent="0.25">
      <c r="A190" s="144" t="s">
        <v>549</v>
      </c>
      <c r="B190" s="144" t="s">
        <v>550</v>
      </c>
      <c r="C190" s="151">
        <v>60</v>
      </c>
    </row>
    <row r="191" spans="1:3" ht="27" customHeight="1" x14ac:dyDescent="0.25">
      <c r="A191" s="144" t="s">
        <v>549</v>
      </c>
      <c r="B191" s="144" t="s">
        <v>551</v>
      </c>
      <c r="C191" s="151">
        <v>20</v>
      </c>
    </row>
    <row r="192" spans="1:3" ht="27" customHeight="1" x14ac:dyDescent="0.25">
      <c r="A192" s="144" t="s">
        <v>549</v>
      </c>
      <c r="B192" s="144" t="s">
        <v>552</v>
      </c>
      <c r="C192" s="151">
        <v>100</v>
      </c>
    </row>
    <row r="193" spans="1:3" ht="27" customHeight="1" x14ac:dyDescent="0.25">
      <c r="A193" s="144" t="s">
        <v>553</v>
      </c>
      <c r="B193" s="144" t="s">
        <v>554</v>
      </c>
      <c r="C193" s="151">
        <v>70</v>
      </c>
    </row>
    <row r="194" spans="1:3" ht="27" customHeight="1" x14ac:dyDescent="0.25">
      <c r="A194" s="144" t="s">
        <v>553</v>
      </c>
      <c r="B194" s="144" t="s">
        <v>555</v>
      </c>
      <c r="C194" s="151">
        <v>10</v>
      </c>
    </row>
    <row r="195" spans="1:3" ht="27" customHeight="1" x14ac:dyDescent="0.25">
      <c r="A195" s="144" t="s">
        <v>553</v>
      </c>
      <c r="B195" s="144" t="s">
        <v>556</v>
      </c>
      <c r="C195" s="151">
        <v>90</v>
      </c>
    </row>
    <row r="196" spans="1:3" ht="27" customHeight="1" x14ac:dyDescent="0.25">
      <c r="A196" s="144" t="s">
        <v>553</v>
      </c>
      <c r="B196" s="144" t="s">
        <v>557</v>
      </c>
      <c r="C196" s="151">
        <v>10</v>
      </c>
    </row>
    <row r="197" spans="1:3" ht="27" customHeight="1" x14ac:dyDescent="0.25">
      <c r="A197" s="144" t="s">
        <v>553</v>
      </c>
      <c r="B197" s="144" t="s">
        <v>558</v>
      </c>
      <c r="C197" s="151">
        <v>20</v>
      </c>
    </row>
    <row r="198" spans="1:3" ht="27" customHeight="1" x14ac:dyDescent="0.25">
      <c r="A198" s="144" t="s">
        <v>553</v>
      </c>
      <c r="B198" s="144" t="s">
        <v>559</v>
      </c>
      <c r="C198" s="151">
        <v>210</v>
      </c>
    </row>
    <row r="199" spans="1:3" ht="27" customHeight="1" x14ac:dyDescent="0.25">
      <c r="A199" s="144" t="s">
        <v>553</v>
      </c>
      <c r="B199" s="144" t="s">
        <v>560</v>
      </c>
      <c r="C199" s="151">
        <v>285</v>
      </c>
    </row>
    <row r="200" spans="1:3" ht="27" customHeight="1" x14ac:dyDescent="0.25">
      <c r="A200" s="144" t="s">
        <v>561</v>
      </c>
      <c r="B200" s="144" t="s">
        <v>562</v>
      </c>
      <c r="C200" s="151">
        <v>100</v>
      </c>
    </row>
    <row r="201" spans="1:3" ht="27" customHeight="1" x14ac:dyDescent="0.25">
      <c r="A201" s="144" t="s">
        <v>561</v>
      </c>
      <c r="B201" s="144" t="s">
        <v>563</v>
      </c>
      <c r="C201" s="151">
        <v>20</v>
      </c>
    </row>
    <row r="202" spans="1:3" ht="27" customHeight="1" x14ac:dyDescent="0.25">
      <c r="A202" s="144" t="s">
        <v>564</v>
      </c>
      <c r="B202" s="144" t="s">
        <v>565</v>
      </c>
      <c r="C202" s="151">
        <v>70</v>
      </c>
    </row>
    <row r="203" spans="1:3" ht="27" customHeight="1" x14ac:dyDescent="0.25">
      <c r="A203" s="144" t="s">
        <v>564</v>
      </c>
      <c r="B203" s="144" t="s">
        <v>566</v>
      </c>
      <c r="C203" s="151">
        <v>90</v>
      </c>
    </row>
    <row r="204" spans="1:3" ht="27" customHeight="1" x14ac:dyDescent="0.25">
      <c r="A204" s="144" t="s">
        <v>567</v>
      </c>
      <c r="B204" s="144" t="s">
        <v>568</v>
      </c>
      <c r="C204" s="151">
        <v>80</v>
      </c>
    </row>
    <row r="205" spans="1:3" ht="27" customHeight="1" x14ac:dyDescent="0.25">
      <c r="A205" s="144" t="s">
        <v>567</v>
      </c>
      <c r="B205" s="144" t="s">
        <v>569</v>
      </c>
      <c r="C205" s="151">
        <v>50</v>
      </c>
    </row>
    <row r="206" spans="1:3" ht="27" customHeight="1" x14ac:dyDescent="0.25">
      <c r="A206" s="144" t="s">
        <v>567</v>
      </c>
      <c r="B206" s="144" t="s">
        <v>570</v>
      </c>
      <c r="C206" s="151">
        <v>60</v>
      </c>
    </row>
    <row r="207" spans="1:3" ht="27" customHeight="1" x14ac:dyDescent="0.25">
      <c r="A207" s="144" t="s">
        <v>567</v>
      </c>
      <c r="B207" s="144" t="s">
        <v>571</v>
      </c>
      <c r="C207" s="151">
        <v>70</v>
      </c>
    </row>
    <row r="208" spans="1:3" ht="27" customHeight="1" x14ac:dyDescent="0.25">
      <c r="A208" s="144" t="s">
        <v>567</v>
      </c>
      <c r="B208" s="144" t="s">
        <v>572</v>
      </c>
      <c r="C208" s="151">
        <v>80</v>
      </c>
    </row>
    <row r="209" spans="1:3" ht="27" customHeight="1" x14ac:dyDescent="0.25">
      <c r="A209" s="144" t="s">
        <v>383</v>
      </c>
      <c r="B209" s="144" t="s">
        <v>573</v>
      </c>
      <c r="C209" s="151">
        <v>350</v>
      </c>
    </row>
    <row r="210" spans="1:3" ht="27" customHeight="1" x14ac:dyDescent="0.25">
      <c r="A210" s="144" t="s">
        <v>383</v>
      </c>
      <c r="B210" s="144" t="s">
        <v>574</v>
      </c>
      <c r="C210" s="151">
        <v>460</v>
      </c>
    </row>
    <row r="211" spans="1:3" ht="27" customHeight="1" x14ac:dyDescent="0.25">
      <c r="A211" s="144" t="s">
        <v>575</v>
      </c>
      <c r="B211" s="144" t="s">
        <v>576</v>
      </c>
      <c r="C211" s="151">
        <v>80</v>
      </c>
    </row>
    <row r="212" spans="1:3" ht="27" customHeight="1" x14ac:dyDescent="0.25">
      <c r="A212" s="144" t="s">
        <v>575</v>
      </c>
      <c r="B212" s="144" t="s">
        <v>577</v>
      </c>
      <c r="C212" s="151">
        <v>100</v>
      </c>
    </row>
    <row r="213" spans="1:3" ht="27" customHeight="1" x14ac:dyDescent="0.25">
      <c r="A213" s="144" t="s">
        <v>578</v>
      </c>
      <c r="B213" s="144" t="s">
        <v>579</v>
      </c>
      <c r="C213" s="151">
        <v>40</v>
      </c>
    </row>
    <row r="214" spans="1:3" ht="27" customHeight="1" x14ac:dyDescent="0.25">
      <c r="A214" s="144" t="s">
        <v>578</v>
      </c>
      <c r="B214" s="144" t="s">
        <v>580</v>
      </c>
      <c r="C214" s="151">
        <v>50</v>
      </c>
    </row>
    <row r="215" spans="1:3" ht="27" customHeight="1" x14ac:dyDescent="0.25">
      <c r="A215" s="144" t="s">
        <v>581</v>
      </c>
      <c r="B215" s="144" t="s">
        <v>582</v>
      </c>
      <c r="C215" s="151">
        <v>20</v>
      </c>
    </row>
    <row r="216" spans="1:3" ht="27" customHeight="1" x14ac:dyDescent="0.25">
      <c r="A216" s="144" t="s">
        <v>581</v>
      </c>
      <c r="B216" s="144" t="s">
        <v>583</v>
      </c>
      <c r="C216" s="151">
        <v>90</v>
      </c>
    </row>
    <row r="217" spans="1:3" ht="27" customHeight="1" x14ac:dyDescent="0.25">
      <c r="A217" s="144" t="s">
        <v>581</v>
      </c>
      <c r="B217" s="144" t="s">
        <v>584</v>
      </c>
      <c r="C217" s="151">
        <v>115</v>
      </c>
    </row>
    <row r="218" spans="1:3" ht="27" customHeight="1" x14ac:dyDescent="0.25">
      <c r="A218" s="144" t="s">
        <v>585</v>
      </c>
      <c r="B218" s="144" t="s">
        <v>586</v>
      </c>
      <c r="C218" s="151">
        <v>20</v>
      </c>
    </row>
    <row r="219" spans="1:3" ht="27" customHeight="1" x14ac:dyDescent="0.25">
      <c r="A219" s="144" t="s">
        <v>585</v>
      </c>
      <c r="B219" s="144" t="s">
        <v>587</v>
      </c>
      <c r="C219" s="151">
        <v>30</v>
      </c>
    </row>
    <row r="220" spans="1:3" ht="27" customHeight="1" x14ac:dyDescent="0.25">
      <c r="A220" s="144" t="s">
        <v>585</v>
      </c>
      <c r="B220" s="144" t="s">
        <v>588</v>
      </c>
      <c r="C220" s="151">
        <v>50</v>
      </c>
    </row>
    <row r="221" spans="1:3" ht="27" customHeight="1" x14ac:dyDescent="0.25">
      <c r="A221" s="144" t="s">
        <v>589</v>
      </c>
      <c r="B221" s="144" t="s">
        <v>590</v>
      </c>
      <c r="C221" s="151">
        <v>20</v>
      </c>
    </row>
    <row r="222" spans="1:3" ht="27" customHeight="1" x14ac:dyDescent="0.25">
      <c r="A222" s="144" t="s">
        <v>589</v>
      </c>
      <c r="B222" s="144" t="s">
        <v>591</v>
      </c>
      <c r="C222" s="151">
        <v>80</v>
      </c>
    </row>
    <row r="223" spans="1:3" ht="27" customHeight="1" x14ac:dyDescent="0.25">
      <c r="A223" s="144" t="s">
        <v>589</v>
      </c>
      <c r="B223" s="144" t="s">
        <v>592</v>
      </c>
      <c r="C223" s="151">
        <v>90</v>
      </c>
    </row>
    <row r="224" spans="1:3" ht="27" customHeight="1" x14ac:dyDescent="0.25">
      <c r="A224" s="144" t="s">
        <v>593</v>
      </c>
      <c r="B224" s="144" t="s">
        <v>594</v>
      </c>
      <c r="C224" s="151">
        <v>40</v>
      </c>
    </row>
    <row r="225" spans="1:9" ht="27" customHeight="1" x14ac:dyDescent="0.25">
      <c r="A225" s="144" t="s">
        <v>593</v>
      </c>
      <c r="B225" s="144" t="s">
        <v>595</v>
      </c>
      <c r="C225" s="151">
        <v>130</v>
      </c>
    </row>
    <row r="226" spans="1:9" ht="27" customHeight="1" x14ac:dyDescent="0.25">
      <c r="A226" s="144" t="s">
        <v>593</v>
      </c>
      <c r="B226" s="144" t="s">
        <v>596</v>
      </c>
      <c r="C226" s="151">
        <v>140</v>
      </c>
    </row>
    <row r="227" spans="1:9" ht="27" customHeight="1" x14ac:dyDescent="0.25">
      <c r="A227" s="144" t="s">
        <v>597</v>
      </c>
      <c r="B227" s="144" t="s">
        <v>598</v>
      </c>
      <c r="C227" s="151">
        <v>40</v>
      </c>
    </row>
    <row r="228" spans="1:9" ht="27" customHeight="1" x14ac:dyDescent="0.25">
      <c r="A228" s="144" t="s">
        <v>597</v>
      </c>
      <c r="B228" s="144" t="s">
        <v>599</v>
      </c>
      <c r="C228" s="151">
        <v>330</v>
      </c>
    </row>
    <row r="229" spans="1:9" ht="27" customHeight="1" x14ac:dyDescent="0.25">
      <c r="A229" s="144" t="s">
        <v>578</v>
      </c>
      <c r="B229" s="144" t="s">
        <v>600</v>
      </c>
      <c r="C229" s="151">
        <v>40</v>
      </c>
    </row>
    <row r="230" spans="1:9" ht="27" customHeight="1" x14ac:dyDescent="0.25">
      <c r="A230" s="144" t="s">
        <v>578</v>
      </c>
      <c r="B230" s="144" t="s">
        <v>601</v>
      </c>
      <c r="C230" s="151">
        <v>150</v>
      </c>
    </row>
    <row r="232" spans="1:9" ht="27" customHeight="1" x14ac:dyDescent="0.25">
      <c r="A232" s="146" t="s">
        <v>602</v>
      </c>
      <c r="B232" s="146"/>
      <c r="C232" s="147"/>
    </row>
    <row r="234" spans="1:9" ht="27" customHeight="1" x14ac:dyDescent="0.25">
      <c r="B234" s="144" t="s">
        <v>277</v>
      </c>
      <c r="C234" s="144" t="s">
        <v>278</v>
      </c>
      <c r="D234" s="135"/>
    </row>
    <row r="235" spans="1:9" ht="27" customHeight="1" x14ac:dyDescent="0.25">
      <c r="B235" s="189" t="s">
        <v>603</v>
      </c>
      <c r="C235" s="190" t="s">
        <v>604</v>
      </c>
      <c r="D235" s="191"/>
      <c r="E235" s="191"/>
      <c r="F235" s="191"/>
      <c r="G235" s="191"/>
      <c r="H235" s="191"/>
      <c r="I235" s="191"/>
    </row>
    <row r="236" spans="1:9" ht="27" customHeight="1" x14ac:dyDescent="0.25">
      <c r="B236" s="192" t="s">
        <v>605</v>
      </c>
      <c r="C236" s="193" t="s">
        <v>606</v>
      </c>
      <c r="D236" s="20"/>
      <c r="E236" s="191"/>
      <c r="F236" s="191"/>
      <c r="G236" s="191"/>
      <c r="H236" s="191"/>
      <c r="I236" s="191"/>
    </row>
    <row r="237" spans="1:9" ht="27" customHeight="1" x14ac:dyDescent="0.25">
      <c r="B237" s="192" t="s">
        <v>607</v>
      </c>
      <c r="C237" s="194">
        <v>50</v>
      </c>
      <c r="D237" s="191"/>
      <c r="E237" s="191"/>
      <c r="F237" s="191"/>
      <c r="G237" s="19"/>
      <c r="H237" s="19"/>
      <c r="I237" s="19"/>
    </row>
    <row r="238" spans="1:9" ht="27" customHeight="1" x14ac:dyDescent="0.25">
      <c r="B238" s="192" t="s">
        <v>608</v>
      </c>
      <c r="C238" s="194">
        <v>15</v>
      </c>
      <c r="D238" s="191"/>
      <c r="E238" s="191"/>
      <c r="F238" s="191"/>
      <c r="G238" s="19"/>
      <c r="H238" s="19"/>
      <c r="I238" s="19"/>
    </row>
    <row r="239" spans="1:9" ht="27" customHeight="1" x14ac:dyDescent="0.25">
      <c r="B239" s="192" t="s">
        <v>609</v>
      </c>
      <c r="C239" s="194">
        <v>50</v>
      </c>
      <c r="D239" s="191"/>
      <c r="E239" s="191"/>
      <c r="F239" s="191"/>
      <c r="G239" s="19"/>
      <c r="H239" s="19"/>
      <c r="I239" s="19"/>
    </row>
    <row r="240" spans="1:9" ht="27" customHeight="1" x14ac:dyDescent="0.25">
      <c r="B240" s="192"/>
      <c r="C240" s="194"/>
      <c r="D240" s="191"/>
      <c r="E240" s="191"/>
      <c r="F240" s="191"/>
      <c r="G240" s="19"/>
      <c r="H240" s="19"/>
      <c r="I240" s="19"/>
    </row>
    <row r="241" spans="1:11" ht="27" customHeight="1" x14ac:dyDescent="0.25">
      <c r="B241" s="195" t="s">
        <v>610</v>
      </c>
      <c r="C241" s="192" t="s">
        <v>278</v>
      </c>
      <c r="D241" s="191"/>
      <c r="E241" s="191"/>
      <c r="F241" s="191"/>
      <c r="G241" s="19"/>
      <c r="H241" s="19"/>
      <c r="I241" s="19"/>
    </row>
    <row r="242" spans="1:11" ht="27" customHeight="1" x14ac:dyDescent="0.25">
      <c r="B242" s="196" t="s">
        <v>611</v>
      </c>
      <c r="C242" s="194">
        <v>75</v>
      </c>
      <c r="D242" s="191"/>
      <c r="E242" s="191"/>
      <c r="F242" s="191"/>
      <c r="G242" s="19"/>
      <c r="H242" s="19"/>
      <c r="I242" s="19"/>
    </row>
    <row r="243" spans="1:11" ht="27" customHeight="1" x14ac:dyDescent="0.25">
      <c r="B243" s="196" t="s">
        <v>612</v>
      </c>
      <c r="C243" s="194">
        <v>50</v>
      </c>
      <c r="D243" s="191"/>
      <c r="E243" s="191"/>
      <c r="F243" s="191"/>
      <c r="G243" s="19"/>
      <c r="H243" s="19"/>
      <c r="I243" s="19"/>
    </row>
    <row r="244" spans="1:11" ht="27" customHeight="1" x14ac:dyDescent="0.25">
      <c r="B244" s="196" t="s">
        <v>613</v>
      </c>
      <c r="C244" s="194">
        <v>50</v>
      </c>
      <c r="D244" s="191"/>
      <c r="E244" s="191"/>
      <c r="F244" s="191"/>
      <c r="G244" s="19"/>
      <c r="H244" s="19"/>
      <c r="I244" s="19"/>
    </row>
    <row r="245" spans="1:11" ht="27" customHeight="1" x14ac:dyDescent="0.25">
      <c r="B245" s="197"/>
      <c r="C245" s="198"/>
      <c r="D245" s="199"/>
      <c r="E245" s="10"/>
      <c r="F245" s="200"/>
      <c r="G245" s="201"/>
      <c r="H245" s="201"/>
      <c r="I245" s="201"/>
    </row>
    <row r="246" spans="1:11" ht="27" customHeight="1" x14ac:dyDescent="0.25">
      <c r="B246" s="202" t="s">
        <v>614</v>
      </c>
      <c r="C246" s="203" t="s">
        <v>174</v>
      </c>
      <c r="D246" s="202" t="s">
        <v>615</v>
      </c>
      <c r="E246" s="191"/>
      <c r="F246" s="199"/>
      <c r="G246" s="199"/>
      <c r="H246" s="199"/>
      <c r="I246" s="199"/>
    </row>
    <row r="247" spans="1:11" ht="27" customHeight="1" x14ac:dyDescent="0.25">
      <c r="B247" s="204" t="s">
        <v>616</v>
      </c>
      <c r="C247" s="194">
        <v>239</v>
      </c>
      <c r="D247" s="205">
        <v>275</v>
      </c>
      <c r="E247" s="205"/>
      <c r="F247" s="206"/>
      <c r="G247" s="206"/>
      <c r="H247" s="206"/>
      <c r="I247" s="206"/>
    </row>
    <row r="248" spans="1:11" ht="27" customHeight="1" x14ac:dyDescent="0.25">
      <c r="B248" s="196" t="s">
        <v>617</v>
      </c>
      <c r="C248" s="194">
        <v>174</v>
      </c>
      <c r="D248" s="205">
        <v>225</v>
      </c>
      <c r="E248" s="205"/>
      <c r="F248" s="206"/>
      <c r="G248" s="206"/>
      <c r="H248" s="206"/>
      <c r="I248" s="206"/>
    </row>
    <row r="249" spans="1:11" ht="27" customHeight="1" x14ac:dyDescent="0.25">
      <c r="B249" s="204" t="s">
        <v>618</v>
      </c>
      <c r="C249" s="194">
        <v>471</v>
      </c>
      <c r="D249" s="205">
        <v>500</v>
      </c>
      <c r="E249" s="205"/>
      <c r="F249" s="206"/>
      <c r="G249" s="206"/>
      <c r="H249" s="206"/>
      <c r="I249" s="206"/>
    </row>
    <row r="250" spans="1:11" ht="27" customHeight="1" x14ac:dyDescent="0.25">
      <c r="B250" s="196" t="s">
        <v>619</v>
      </c>
      <c r="C250" s="194">
        <v>423</v>
      </c>
      <c r="D250" s="205">
        <v>500</v>
      </c>
      <c r="E250" s="205"/>
      <c r="F250" s="206"/>
      <c r="G250" s="206"/>
      <c r="H250" s="206"/>
      <c r="I250" s="206"/>
    </row>
    <row r="251" spans="1:11" ht="27" customHeight="1" x14ac:dyDescent="0.25">
      <c r="A251" s="207"/>
      <c r="B251" s="208"/>
      <c r="C251" s="209"/>
      <c r="D251" s="210"/>
      <c r="E251" s="210"/>
      <c r="F251" s="209"/>
      <c r="G251" s="209"/>
      <c r="H251" s="209"/>
      <c r="I251" s="209"/>
      <c r="J251" s="211"/>
    </row>
    <row r="252" spans="1:11" ht="27" customHeight="1" x14ac:dyDescent="0.25">
      <c r="A252" s="147" t="s">
        <v>620</v>
      </c>
      <c r="B252" s="212"/>
      <c r="C252" s="213"/>
      <c r="D252" s="214"/>
      <c r="E252" s="214"/>
      <c r="F252" s="214"/>
      <c r="G252" s="215"/>
      <c r="H252" s="215"/>
      <c r="I252" s="215"/>
      <c r="J252" s="216"/>
      <c r="K252" s="216"/>
    </row>
    <row r="253" spans="1:11" ht="27" customHeight="1" x14ac:dyDescent="0.25">
      <c r="A253" s="137" t="s">
        <v>276</v>
      </c>
      <c r="B253" s="217" t="s">
        <v>621</v>
      </c>
      <c r="C253" s="218" t="s">
        <v>622</v>
      </c>
      <c r="D253" s="219" t="s">
        <v>623</v>
      </c>
      <c r="E253" s="219" t="s">
        <v>624</v>
      </c>
      <c r="F253" s="219" t="s">
        <v>625</v>
      </c>
      <c r="G253" s="215"/>
      <c r="H253" s="215"/>
      <c r="I253" s="215"/>
      <c r="J253" s="216"/>
      <c r="K253" s="216"/>
    </row>
    <row r="254" spans="1:11" ht="27" customHeight="1" x14ac:dyDescent="0.25">
      <c r="A254" s="168" t="s">
        <v>626</v>
      </c>
      <c r="B254" s="220" t="s">
        <v>627</v>
      </c>
      <c r="C254" s="221">
        <v>75</v>
      </c>
      <c r="D254" s="222">
        <v>100</v>
      </c>
      <c r="E254" s="222">
        <v>125</v>
      </c>
      <c r="F254" s="222">
        <v>150</v>
      </c>
      <c r="G254" s="215"/>
      <c r="H254" s="215"/>
      <c r="I254" s="215"/>
      <c r="J254" s="216"/>
      <c r="K254" s="216"/>
    </row>
    <row r="255" spans="1:11" ht="27" customHeight="1" x14ac:dyDescent="0.25">
      <c r="A255" s="16"/>
      <c r="B255" s="223"/>
      <c r="C255" s="224"/>
      <c r="D255" s="225"/>
      <c r="E255" s="225"/>
      <c r="F255" s="226"/>
      <c r="G255" s="227"/>
      <c r="H255" s="227"/>
      <c r="I255" s="227"/>
      <c r="J255" s="216"/>
      <c r="K255" s="216"/>
    </row>
    <row r="256" spans="1:11" ht="27" customHeight="1" x14ac:dyDescent="0.25">
      <c r="A256" s="16"/>
      <c r="B256" s="228"/>
      <c r="C256" s="229"/>
      <c r="D256" s="230"/>
      <c r="E256" s="231"/>
      <c r="F256" s="232"/>
      <c r="G256" s="232"/>
      <c r="H256" s="232"/>
      <c r="I256" s="232"/>
      <c r="J256" s="216"/>
      <c r="K256" s="216"/>
    </row>
    <row r="257" spans="1:11" ht="27" customHeight="1" x14ac:dyDescent="0.25">
      <c r="A257" s="233"/>
      <c r="B257" s="234" t="s">
        <v>628</v>
      </c>
      <c r="C257" s="296" t="s">
        <v>629</v>
      </c>
      <c r="D257" s="297"/>
      <c r="E257" s="298"/>
      <c r="F257" s="296" t="s">
        <v>630</v>
      </c>
      <c r="G257" s="297"/>
      <c r="H257" s="298"/>
      <c r="I257" s="296" t="s">
        <v>631</v>
      </c>
      <c r="J257" s="297"/>
      <c r="K257" s="298"/>
    </row>
    <row r="258" spans="1:11" ht="27" customHeight="1" x14ac:dyDescent="0.25">
      <c r="A258" s="137" t="s">
        <v>276</v>
      </c>
      <c r="B258" s="235" t="s">
        <v>632</v>
      </c>
      <c r="C258" s="235" t="s">
        <v>622</v>
      </c>
      <c r="D258" s="236" t="s">
        <v>623</v>
      </c>
      <c r="E258" s="236" t="s">
        <v>624</v>
      </c>
      <c r="F258" s="236" t="s">
        <v>633</v>
      </c>
      <c r="G258" s="236" t="s">
        <v>634</v>
      </c>
      <c r="H258" s="236" t="s">
        <v>635</v>
      </c>
      <c r="I258" s="236" t="s">
        <v>636</v>
      </c>
      <c r="J258" s="236" t="s">
        <v>637</v>
      </c>
      <c r="K258" s="236" t="s">
        <v>638</v>
      </c>
    </row>
    <row r="259" spans="1:11" ht="27" customHeight="1" x14ac:dyDescent="0.25">
      <c r="A259" s="168"/>
      <c r="B259" s="237" t="s">
        <v>639</v>
      </c>
      <c r="C259" s="238">
        <v>72.8</v>
      </c>
      <c r="D259" s="239">
        <v>145.6</v>
      </c>
      <c r="E259" s="239">
        <v>218.39999999999998</v>
      </c>
      <c r="F259" s="239">
        <v>159.12</v>
      </c>
      <c r="G259" s="239">
        <v>318.24</v>
      </c>
      <c r="H259" s="239">
        <v>477.36</v>
      </c>
      <c r="I259" s="239">
        <v>51.52</v>
      </c>
      <c r="J259" s="239">
        <v>103.04</v>
      </c>
      <c r="K259" s="239">
        <v>154.56</v>
      </c>
    </row>
    <row r="260" spans="1:11" ht="27" customHeight="1" x14ac:dyDescent="0.25">
      <c r="A260" s="168" t="s">
        <v>640</v>
      </c>
      <c r="B260" s="237" t="s">
        <v>641</v>
      </c>
      <c r="C260" s="238">
        <v>100</v>
      </c>
      <c r="D260" s="239">
        <v>180</v>
      </c>
      <c r="E260" s="239">
        <v>260</v>
      </c>
      <c r="F260" s="239">
        <v>200</v>
      </c>
      <c r="G260" s="239">
        <v>380</v>
      </c>
      <c r="H260" s="239">
        <v>560</v>
      </c>
      <c r="I260" s="239">
        <v>60</v>
      </c>
      <c r="J260" s="239">
        <v>120</v>
      </c>
      <c r="K260" s="239">
        <v>180</v>
      </c>
    </row>
    <row r="261" spans="1:11" ht="27" customHeight="1" x14ac:dyDescent="0.25">
      <c r="A261" s="240"/>
      <c r="B261" s="241"/>
      <c r="C261" s="242"/>
      <c r="D261" s="231"/>
      <c r="E261" s="232"/>
      <c r="F261" s="232"/>
      <c r="G261" s="232"/>
      <c r="H261" s="232"/>
      <c r="I261" s="211"/>
      <c r="J261" s="211"/>
    </row>
    <row r="262" spans="1:11" ht="27" customHeight="1" x14ac:dyDescent="0.25">
      <c r="A262" s="243"/>
      <c r="B262" s="243"/>
      <c r="C262" s="209"/>
      <c r="D262" s="209"/>
      <c r="E262" s="209"/>
      <c r="F262" s="209"/>
      <c r="G262" s="209"/>
      <c r="H262" s="209"/>
      <c r="I262" s="209"/>
      <c r="J262" s="211"/>
    </row>
    <row r="263" spans="1:11" ht="27" customHeight="1" x14ac:dyDescent="0.25">
      <c r="A263" s="147" t="s">
        <v>642</v>
      </c>
      <c r="B263" s="147"/>
      <c r="C263" s="147"/>
      <c r="D263" s="147"/>
      <c r="E263" s="147"/>
      <c r="F263" s="147"/>
      <c r="G263" s="209"/>
      <c r="H263" s="209"/>
      <c r="I263" s="209"/>
      <c r="J263" s="211"/>
    </row>
    <row r="264" spans="1:11" ht="27" customHeight="1" x14ac:dyDescent="0.25">
      <c r="A264" s="244" t="s">
        <v>643</v>
      </c>
      <c r="B264" s="208"/>
      <c r="C264" s="209"/>
      <c r="D264" s="209"/>
      <c r="E264" s="209"/>
      <c r="F264" s="209"/>
      <c r="G264" s="209"/>
      <c r="H264" s="209"/>
      <c r="I264" s="209"/>
      <c r="J264" s="211"/>
    </row>
  </sheetData>
  <sheetProtection sheet="1" objects="1" scenarios="1"/>
  <mergeCells count="3">
    <mergeCell ref="C257:E257"/>
    <mergeCell ref="F257:H257"/>
    <mergeCell ref="I257:K257"/>
  </mergeCells>
  <dataValidations count="2">
    <dataValidation type="list" allowBlank="1" showInputMessage="1" showErrorMessage="1" sqref="B1">
      <formula1>$P$1:$P$12</formula1>
    </dataValidation>
    <dataValidation type="list" allowBlank="1" showInputMessage="1" showErrorMessage="1" sqref="F1">
      <formula1>$F$3:$F$12</formula1>
    </dataValidation>
  </dataValidations>
  <pageMargins left="0.7" right="0.7" top="0.75" bottom="0.75" header="0.3" footer="0.3"/>
  <pageSetup scale="43" fitToHeight="0" orientation="landscape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A1048542"/>
  <sheetViews>
    <sheetView zoomScale="70" zoomScaleNormal="70" workbookViewId="0">
      <selection activeCell="B21" sqref="B21"/>
    </sheetView>
  </sheetViews>
  <sheetFormatPr defaultRowHeight="15" x14ac:dyDescent="0.2"/>
  <cols>
    <col min="1" max="1" width="95.140625" style="250" customWidth="1"/>
    <col min="2" max="2" width="19.5703125" style="247" customWidth="1"/>
    <col min="3" max="3" width="28.85546875" style="247" customWidth="1"/>
    <col min="4" max="4" width="25.28515625" style="247" customWidth="1"/>
    <col min="5" max="5" width="22.28515625" style="247" customWidth="1"/>
    <col min="6" max="6" width="44.5703125" style="247" customWidth="1"/>
    <col min="7" max="7" width="39.7109375" style="247" customWidth="1"/>
    <col min="8" max="8" width="48.140625" style="247" customWidth="1"/>
    <col min="9" max="10" width="7.85546875" style="247" customWidth="1"/>
    <col min="11" max="11" width="86.28515625" style="247" customWidth="1"/>
    <col min="12" max="12" width="27" style="247" customWidth="1"/>
    <col min="13" max="13" width="39.85546875" style="247" customWidth="1"/>
    <col min="14" max="14" width="36.5703125" style="247" customWidth="1"/>
    <col min="15" max="15" width="32.28515625" style="247" customWidth="1"/>
    <col min="16" max="16" width="66.5703125" style="247" customWidth="1"/>
    <col min="17" max="17" width="22.28515625" style="247" customWidth="1"/>
    <col min="18" max="18" width="57.7109375" style="247" customWidth="1"/>
    <col min="19" max="19" width="54.42578125" style="247" customWidth="1"/>
    <col min="20" max="23" width="16.140625" style="247" customWidth="1"/>
    <col min="24" max="24" width="61.28515625" style="247" customWidth="1"/>
    <col min="25" max="27" width="16.140625" style="247" customWidth="1"/>
    <col min="28" max="16384" width="9.140625" style="250"/>
  </cols>
  <sheetData>
    <row r="1" spans="1:27" ht="15.75" x14ac:dyDescent="0.25">
      <c r="A1" s="245" t="s">
        <v>644</v>
      </c>
      <c r="B1" s="246" t="s">
        <v>645</v>
      </c>
      <c r="D1" s="248"/>
      <c r="E1" s="248"/>
      <c r="F1" s="248"/>
      <c r="G1" s="248"/>
      <c r="H1" s="248"/>
      <c r="L1" s="249"/>
    </row>
    <row r="2" spans="1:27" ht="15.75" x14ac:dyDescent="0.25">
      <c r="A2" s="251" t="s">
        <v>646</v>
      </c>
      <c r="B2" s="252"/>
      <c r="L2" s="249"/>
    </row>
    <row r="3" spans="1:27" ht="15.75" x14ac:dyDescent="0.25">
      <c r="A3" s="253" t="s">
        <v>647</v>
      </c>
      <c r="B3" s="254">
        <v>695</v>
      </c>
      <c r="L3" s="249"/>
    </row>
    <row r="4" spans="1:27" ht="15.75" x14ac:dyDescent="0.25">
      <c r="A4" s="253" t="s">
        <v>648</v>
      </c>
      <c r="B4" s="254">
        <v>395</v>
      </c>
      <c r="L4" s="249"/>
    </row>
    <row r="5" spans="1:27" ht="15.75" x14ac:dyDescent="0.25">
      <c r="A5" s="253" t="s">
        <v>649</v>
      </c>
      <c r="B5" s="254">
        <v>139</v>
      </c>
      <c r="L5" s="249"/>
    </row>
    <row r="6" spans="1:27" ht="15.75" x14ac:dyDescent="0.25">
      <c r="A6" s="253"/>
      <c r="B6" s="252"/>
      <c r="L6" s="249"/>
    </row>
    <row r="7" spans="1:27" ht="15.75" x14ac:dyDescent="0.25">
      <c r="A7" s="253" t="s">
        <v>650</v>
      </c>
      <c r="B7" s="255"/>
      <c r="L7" s="249"/>
    </row>
    <row r="8" spans="1:27" x14ac:dyDescent="0.2">
      <c r="A8" s="253" t="s">
        <v>651</v>
      </c>
      <c r="B8" s="254">
        <v>1250</v>
      </c>
    </row>
    <row r="9" spans="1:27" x14ac:dyDescent="0.2">
      <c r="A9" s="256"/>
      <c r="B9" s="252"/>
    </row>
    <row r="10" spans="1:27" x14ac:dyDescent="0.2">
      <c r="A10" s="253" t="s">
        <v>652</v>
      </c>
      <c r="B10" s="252" t="s">
        <v>653</v>
      </c>
    </row>
    <row r="11" spans="1:27" x14ac:dyDescent="0.2">
      <c r="A11" s="247"/>
    </row>
    <row r="12" spans="1:27" x14ac:dyDescent="0.2">
      <c r="A12" s="247"/>
    </row>
    <row r="13" spans="1:27" x14ac:dyDescent="0.2">
      <c r="A13" s="247"/>
    </row>
    <row r="14" spans="1:27" s="262" customFormat="1" ht="16.5" thickBot="1" x14ac:dyDescent="0.3">
      <c r="A14" s="257" t="s">
        <v>654</v>
      </c>
      <c r="B14" s="258" t="s">
        <v>655</v>
      </c>
      <c r="C14" s="258" t="s">
        <v>656</v>
      </c>
      <c r="D14" s="258" t="s">
        <v>657</v>
      </c>
      <c r="E14" s="258" t="s">
        <v>658</v>
      </c>
      <c r="F14" s="258" t="s">
        <v>659</v>
      </c>
      <c r="G14" s="258" t="s">
        <v>660</v>
      </c>
      <c r="H14" s="259"/>
      <c r="I14" s="259"/>
      <c r="J14" s="259"/>
      <c r="K14" s="260" t="s">
        <v>661</v>
      </c>
      <c r="L14" s="261" t="s">
        <v>655</v>
      </c>
      <c r="M14" s="261" t="s">
        <v>656</v>
      </c>
      <c r="N14" s="261" t="s">
        <v>657</v>
      </c>
      <c r="O14" s="259"/>
      <c r="P14" s="260" t="s">
        <v>662</v>
      </c>
      <c r="Q14" s="261" t="s">
        <v>658</v>
      </c>
      <c r="R14" s="261" t="s">
        <v>659</v>
      </c>
      <c r="S14" s="259"/>
      <c r="T14" s="259"/>
      <c r="U14" s="259"/>
      <c r="V14" s="259"/>
    </row>
    <row r="15" spans="1:27" ht="16.5" thickTop="1" x14ac:dyDescent="0.25">
      <c r="A15" s="263" t="s">
        <v>663</v>
      </c>
      <c r="B15" s="264">
        <v>45</v>
      </c>
      <c r="C15" s="264">
        <v>45</v>
      </c>
      <c r="D15" s="264">
        <v>45</v>
      </c>
      <c r="E15" s="264">
        <v>45</v>
      </c>
      <c r="F15" s="264">
        <v>45</v>
      </c>
      <c r="G15" s="264">
        <v>45</v>
      </c>
      <c r="H15" s="265"/>
      <c r="K15" s="266" t="s">
        <v>664</v>
      </c>
      <c r="L15" s="267">
        <v>35</v>
      </c>
      <c r="M15" s="268"/>
      <c r="N15" s="268"/>
      <c r="P15" s="266" t="s">
        <v>663</v>
      </c>
      <c r="Q15" s="267">
        <v>45</v>
      </c>
      <c r="R15" s="267">
        <v>45</v>
      </c>
      <c r="W15" s="250"/>
      <c r="X15" s="250"/>
      <c r="Y15" s="250"/>
      <c r="Z15" s="250"/>
      <c r="AA15" s="250"/>
    </row>
    <row r="16" spans="1:27" ht="15.75" x14ac:dyDescent="0.25">
      <c r="A16" s="269" t="s">
        <v>665</v>
      </c>
      <c r="B16" s="270">
        <v>125</v>
      </c>
      <c r="C16" s="270">
        <v>75</v>
      </c>
      <c r="D16" s="270">
        <v>45</v>
      </c>
      <c r="E16" s="270"/>
      <c r="F16" s="270"/>
      <c r="G16" s="270"/>
      <c r="K16" s="271" t="s">
        <v>663</v>
      </c>
      <c r="L16" s="272">
        <v>27</v>
      </c>
      <c r="M16" s="272">
        <v>27</v>
      </c>
      <c r="N16" s="272">
        <v>27</v>
      </c>
      <c r="P16" s="271" t="s">
        <v>665</v>
      </c>
      <c r="Q16" s="272">
        <v>0</v>
      </c>
      <c r="R16" s="272">
        <v>0</v>
      </c>
      <c r="W16" s="250"/>
      <c r="X16" s="250"/>
      <c r="Y16" s="250"/>
      <c r="Z16" s="250"/>
      <c r="AA16" s="250"/>
    </row>
    <row r="17" spans="1:27" ht="30.75" x14ac:dyDescent="0.25">
      <c r="A17" s="269" t="s">
        <v>666</v>
      </c>
      <c r="B17" s="270">
        <v>125</v>
      </c>
      <c r="C17" s="270"/>
      <c r="D17" s="270"/>
      <c r="E17" s="270">
        <v>129</v>
      </c>
      <c r="F17" s="270"/>
      <c r="G17" s="270"/>
      <c r="K17" s="273" t="s">
        <v>665</v>
      </c>
      <c r="L17" s="274" t="s">
        <v>667</v>
      </c>
      <c r="M17" s="274">
        <v>125</v>
      </c>
      <c r="N17" s="274" t="s">
        <v>667</v>
      </c>
      <c r="P17" s="273" t="s">
        <v>666</v>
      </c>
      <c r="Q17" s="274">
        <v>129</v>
      </c>
      <c r="R17" s="274">
        <v>0</v>
      </c>
      <c r="W17" s="250"/>
      <c r="X17" s="250"/>
      <c r="Y17" s="250"/>
      <c r="Z17" s="250"/>
      <c r="AA17" s="250"/>
    </row>
    <row r="18" spans="1:27" ht="15.75" x14ac:dyDescent="0.25">
      <c r="A18" s="269" t="s">
        <v>668</v>
      </c>
      <c r="B18" s="270">
        <v>125</v>
      </c>
      <c r="C18" s="270"/>
      <c r="D18" s="270"/>
      <c r="E18" s="270">
        <v>195</v>
      </c>
      <c r="F18" s="270"/>
      <c r="G18" s="270"/>
      <c r="K18" s="271" t="s">
        <v>669</v>
      </c>
      <c r="L18" s="272">
        <v>75</v>
      </c>
      <c r="M18" s="272" t="s">
        <v>667</v>
      </c>
      <c r="N18" s="272" t="s">
        <v>667</v>
      </c>
      <c r="P18" s="271" t="s">
        <v>668</v>
      </c>
      <c r="Q18" s="272">
        <v>195</v>
      </c>
      <c r="R18" s="272">
        <v>0</v>
      </c>
      <c r="W18" s="250"/>
      <c r="X18" s="250"/>
      <c r="Y18" s="250"/>
      <c r="Z18" s="250"/>
      <c r="AA18" s="250"/>
    </row>
    <row r="19" spans="1:27" ht="30.75" x14ac:dyDescent="0.25">
      <c r="A19" s="269" t="s">
        <v>670</v>
      </c>
      <c r="B19" s="270">
        <v>495</v>
      </c>
      <c r="C19" s="270">
        <v>395</v>
      </c>
      <c r="D19" s="270">
        <v>149</v>
      </c>
      <c r="E19" s="270">
        <v>395</v>
      </c>
      <c r="F19" s="270"/>
      <c r="G19" s="270"/>
      <c r="K19" s="273" t="s">
        <v>671</v>
      </c>
      <c r="L19" s="274">
        <v>75</v>
      </c>
      <c r="M19" s="274" t="s">
        <v>667</v>
      </c>
      <c r="N19" s="274" t="s">
        <v>667</v>
      </c>
      <c r="P19" s="273" t="s">
        <v>672</v>
      </c>
      <c r="Q19" s="274">
        <v>149</v>
      </c>
      <c r="R19" s="274">
        <v>0</v>
      </c>
      <c r="W19" s="250"/>
      <c r="X19" s="250"/>
      <c r="Y19" s="250"/>
      <c r="Z19" s="250"/>
      <c r="AA19" s="250"/>
    </row>
    <row r="20" spans="1:27" ht="15.75" x14ac:dyDescent="0.25">
      <c r="A20" s="269" t="s">
        <v>672</v>
      </c>
      <c r="B20" s="270">
        <v>149</v>
      </c>
      <c r="C20" s="270">
        <v>115</v>
      </c>
      <c r="D20" s="270">
        <v>50</v>
      </c>
      <c r="E20" s="270">
        <v>149</v>
      </c>
      <c r="F20" s="275" t="s">
        <v>673</v>
      </c>
      <c r="G20" s="270"/>
      <c r="K20" s="271" t="s">
        <v>672</v>
      </c>
      <c r="L20" s="276">
        <v>89</v>
      </c>
      <c r="M20" s="276">
        <v>69</v>
      </c>
      <c r="N20" s="276">
        <v>30</v>
      </c>
      <c r="P20" s="271" t="s">
        <v>670</v>
      </c>
      <c r="Q20" s="272">
        <v>395</v>
      </c>
      <c r="R20" s="272">
        <v>0</v>
      </c>
      <c r="W20" s="250"/>
      <c r="X20" s="250"/>
      <c r="Y20" s="250"/>
      <c r="Z20" s="250"/>
      <c r="AA20" s="250"/>
    </row>
    <row r="21" spans="1:27" ht="15.75" x14ac:dyDescent="0.25">
      <c r="A21" s="269" t="s">
        <v>674</v>
      </c>
      <c r="B21" s="270">
        <v>695</v>
      </c>
      <c r="C21" s="270">
        <v>495</v>
      </c>
      <c r="D21" s="270">
        <v>295</v>
      </c>
      <c r="E21" s="270">
        <v>495</v>
      </c>
      <c r="F21" s="275" t="s">
        <v>673</v>
      </c>
      <c r="G21" s="270"/>
      <c r="K21" s="273" t="s">
        <v>670</v>
      </c>
      <c r="L21" s="277">
        <v>297</v>
      </c>
      <c r="M21" s="277">
        <v>237</v>
      </c>
      <c r="N21" s="277">
        <v>89</v>
      </c>
      <c r="P21" s="273" t="s">
        <v>675</v>
      </c>
      <c r="Q21" s="274">
        <v>495</v>
      </c>
      <c r="R21" s="274">
        <v>0</v>
      </c>
      <c r="W21" s="250"/>
      <c r="X21" s="250"/>
      <c r="Y21" s="250"/>
      <c r="Z21" s="250"/>
      <c r="AA21" s="250"/>
    </row>
    <row r="22" spans="1:27" ht="15.75" x14ac:dyDescent="0.25">
      <c r="A22" s="269" t="s">
        <v>676</v>
      </c>
      <c r="B22" s="270">
        <v>1195</v>
      </c>
      <c r="C22" s="270">
        <v>795</v>
      </c>
      <c r="D22" s="270">
        <v>449</v>
      </c>
      <c r="E22" s="270">
        <v>885</v>
      </c>
      <c r="F22" s="275" t="s">
        <v>673</v>
      </c>
      <c r="G22" s="270"/>
      <c r="K22" s="271" t="s">
        <v>677</v>
      </c>
      <c r="L22" s="272">
        <v>417</v>
      </c>
      <c r="M22" s="272">
        <v>297</v>
      </c>
      <c r="N22" s="272">
        <v>177</v>
      </c>
      <c r="P22" s="271" t="s">
        <v>678</v>
      </c>
      <c r="Q22" s="272">
        <v>790</v>
      </c>
      <c r="R22" s="272">
        <v>0</v>
      </c>
      <c r="W22" s="250"/>
      <c r="X22" s="250"/>
      <c r="Y22" s="250"/>
      <c r="Z22" s="250"/>
      <c r="AA22" s="250"/>
    </row>
    <row r="23" spans="1:27" ht="15.75" x14ac:dyDescent="0.25">
      <c r="A23" s="269" t="s">
        <v>679</v>
      </c>
      <c r="B23" s="270">
        <v>2195</v>
      </c>
      <c r="C23" s="270">
        <v>1395</v>
      </c>
      <c r="D23" s="270">
        <v>695</v>
      </c>
      <c r="E23" s="270">
        <v>1438</v>
      </c>
      <c r="F23" s="275" t="s">
        <v>673</v>
      </c>
      <c r="G23" s="270"/>
      <c r="K23" s="273" t="s">
        <v>680</v>
      </c>
      <c r="L23" s="274">
        <v>717</v>
      </c>
      <c r="M23" s="274">
        <v>477</v>
      </c>
      <c r="N23" s="274">
        <v>269</v>
      </c>
      <c r="P23" s="273" t="s">
        <v>681</v>
      </c>
      <c r="Q23" s="274">
        <v>125</v>
      </c>
      <c r="R23" s="274">
        <v>0</v>
      </c>
      <c r="W23" s="250"/>
      <c r="X23" s="250"/>
      <c r="Y23" s="250"/>
      <c r="Z23" s="250"/>
      <c r="AA23" s="250"/>
    </row>
    <row r="24" spans="1:27" ht="15.75" x14ac:dyDescent="0.25">
      <c r="A24" s="269" t="s">
        <v>682</v>
      </c>
      <c r="B24" s="278" t="s">
        <v>683</v>
      </c>
      <c r="C24" s="278" t="s">
        <v>683</v>
      </c>
      <c r="D24" s="278" t="s">
        <v>683</v>
      </c>
      <c r="E24" s="278" t="s">
        <v>683</v>
      </c>
      <c r="F24" s="270"/>
      <c r="G24" s="270"/>
      <c r="K24" s="271" t="s">
        <v>681</v>
      </c>
      <c r="L24" s="272">
        <v>75</v>
      </c>
      <c r="M24" s="272" t="s">
        <v>667</v>
      </c>
      <c r="N24" s="272" t="s">
        <v>667</v>
      </c>
      <c r="P24" s="271" t="s">
        <v>684</v>
      </c>
      <c r="Q24" s="272">
        <v>95</v>
      </c>
      <c r="R24" s="272">
        <v>95</v>
      </c>
      <c r="W24" s="250"/>
      <c r="X24" s="250"/>
      <c r="Y24" s="250"/>
      <c r="Z24" s="250"/>
      <c r="AA24" s="250"/>
    </row>
    <row r="25" spans="1:27" ht="15.75" x14ac:dyDescent="0.25">
      <c r="A25" s="269" t="s">
        <v>685</v>
      </c>
      <c r="B25" s="270"/>
      <c r="C25" s="270"/>
      <c r="D25" s="270"/>
      <c r="E25" s="270">
        <v>149</v>
      </c>
      <c r="F25" s="270"/>
      <c r="G25" s="270"/>
      <c r="K25" s="273" t="s">
        <v>686</v>
      </c>
      <c r="L25" s="274">
        <v>315</v>
      </c>
      <c r="M25" s="274">
        <v>237</v>
      </c>
      <c r="N25" s="274">
        <v>147</v>
      </c>
      <c r="P25" s="273" t="s">
        <v>687</v>
      </c>
      <c r="Q25" s="274">
        <v>249</v>
      </c>
      <c r="R25" s="274">
        <v>129</v>
      </c>
      <c r="W25" s="250"/>
      <c r="X25" s="250"/>
      <c r="Y25" s="250"/>
      <c r="Z25" s="250"/>
      <c r="AA25" s="250"/>
    </row>
    <row r="26" spans="1:27" ht="15.75" x14ac:dyDescent="0.25">
      <c r="A26" s="269" t="s">
        <v>681</v>
      </c>
      <c r="B26" s="270">
        <v>125</v>
      </c>
      <c r="C26" s="270"/>
      <c r="D26" s="270"/>
      <c r="E26" s="270">
        <v>125</v>
      </c>
      <c r="F26" s="270"/>
      <c r="G26" s="270"/>
      <c r="K26" s="271" t="s">
        <v>688</v>
      </c>
      <c r="L26" s="272">
        <v>315</v>
      </c>
      <c r="M26" s="272">
        <v>237</v>
      </c>
      <c r="N26" s="272">
        <v>147</v>
      </c>
      <c r="P26" s="271" t="s">
        <v>689</v>
      </c>
      <c r="Q26" s="272">
        <v>149</v>
      </c>
      <c r="R26" s="272">
        <v>149</v>
      </c>
      <c r="AA26" s="250"/>
    </row>
    <row r="27" spans="1:27" ht="15.75" x14ac:dyDescent="0.25">
      <c r="A27" s="269" t="s">
        <v>684</v>
      </c>
      <c r="B27" s="270"/>
      <c r="C27" s="270"/>
      <c r="D27" s="270"/>
      <c r="E27" s="270">
        <v>95</v>
      </c>
      <c r="F27" s="270">
        <v>35</v>
      </c>
      <c r="G27" s="270"/>
      <c r="K27" s="273" t="s">
        <v>690</v>
      </c>
      <c r="L27" s="274">
        <v>375</v>
      </c>
      <c r="M27" s="274">
        <v>255</v>
      </c>
      <c r="N27" s="274">
        <v>177</v>
      </c>
      <c r="P27" s="273" t="s">
        <v>691</v>
      </c>
      <c r="Q27" s="274">
        <v>75</v>
      </c>
      <c r="R27" s="274">
        <v>75</v>
      </c>
      <c r="AA27" s="250"/>
    </row>
    <row r="28" spans="1:27" ht="15.75" x14ac:dyDescent="0.25">
      <c r="A28" s="269" t="s">
        <v>687</v>
      </c>
      <c r="B28" s="270"/>
      <c r="C28" s="270"/>
      <c r="D28" s="270"/>
      <c r="E28" s="270">
        <v>249</v>
      </c>
      <c r="F28" s="270">
        <v>35</v>
      </c>
      <c r="G28" s="270"/>
      <c r="K28" s="271" t="s">
        <v>692</v>
      </c>
      <c r="L28" s="272">
        <v>375</v>
      </c>
      <c r="M28" s="272">
        <v>255</v>
      </c>
      <c r="N28" s="272">
        <v>177</v>
      </c>
      <c r="P28" s="271" t="s">
        <v>693</v>
      </c>
      <c r="Q28" s="272">
        <v>295</v>
      </c>
      <c r="R28" s="272">
        <v>195</v>
      </c>
      <c r="AA28" s="250"/>
    </row>
    <row r="29" spans="1:27" ht="15.75" x14ac:dyDescent="0.25">
      <c r="A29" s="269" t="s">
        <v>689</v>
      </c>
      <c r="B29" s="270"/>
      <c r="C29" s="270"/>
      <c r="D29" s="270"/>
      <c r="E29" s="270">
        <v>149</v>
      </c>
      <c r="F29" s="270">
        <v>149</v>
      </c>
      <c r="G29" s="270"/>
      <c r="K29" s="273" t="s">
        <v>694</v>
      </c>
      <c r="L29" s="274">
        <v>315</v>
      </c>
      <c r="M29" s="274">
        <v>237</v>
      </c>
      <c r="N29" s="274">
        <v>147</v>
      </c>
      <c r="P29" s="273" t="s">
        <v>686</v>
      </c>
      <c r="Q29" s="274">
        <v>129</v>
      </c>
      <c r="R29" s="274">
        <v>75</v>
      </c>
      <c r="AA29" s="250"/>
    </row>
    <row r="30" spans="1:27" ht="15.75" x14ac:dyDescent="0.25">
      <c r="A30" s="269" t="s">
        <v>691</v>
      </c>
      <c r="B30" s="270"/>
      <c r="C30" s="270"/>
      <c r="D30" s="270"/>
      <c r="E30" s="270">
        <v>75</v>
      </c>
      <c r="F30" s="270">
        <v>75</v>
      </c>
      <c r="G30" s="270"/>
      <c r="K30" s="271" t="s">
        <v>695</v>
      </c>
      <c r="L30" s="272">
        <v>315</v>
      </c>
      <c r="M30" s="272">
        <v>237</v>
      </c>
      <c r="N30" s="272">
        <v>147</v>
      </c>
      <c r="P30" s="271" t="s">
        <v>688</v>
      </c>
      <c r="Q30" s="272">
        <v>195</v>
      </c>
      <c r="R30" s="272">
        <v>129</v>
      </c>
      <c r="AA30" s="250"/>
    </row>
    <row r="31" spans="1:27" ht="15.75" x14ac:dyDescent="0.25">
      <c r="A31" s="269" t="s">
        <v>693</v>
      </c>
      <c r="B31" s="270"/>
      <c r="C31" s="270"/>
      <c r="D31" s="270"/>
      <c r="E31" s="270">
        <v>295</v>
      </c>
      <c r="F31" s="270">
        <v>195</v>
      </c>
      <c r="G31" s="270"/>
      <c r="K31" s="273" t="s">
        <v>696</v>
      </c>
      <c r="L31" s="274">
        <v>375</v>
      </c>
      <c r="M31" s="274">
        <v>255</v>
      </c>
      <c r="N31" s="274">
        <v>177</v>
      </c>
      <c r="P31" s="273" t="s">
        <v>690</v>
      </c>
      <c r="Q31" s="274">
        <v>169</v>
      </c>
      <c r="R31" s="274">
        <v>129</v>
      </c>
      <c r="AA31" s="250"/>
    </row>
    <row r="32" spans="1:27" s="247" customFormat="1" ht="15.75" x14ac:dyDescent="0.25">
      <c r="A32" s="269" t="s">
        <v>686</v>
      </c>
      <c r="B32" s="270">
        <v>525</v>
      </c>
      <c r="C32" s="270">
        <v>395</v>
      </c>
      <c r="D32" s="270">
        <v>245</v>
      </c>
      <c r="E32" s="270">
        <v>129</v>
      </c>
      <c r="F32" s="270">
        <v>75</v>
      </c>
      <c r="G32" s="270"/>
      <c r="K32" s="271" t="s">
        <v>697</v>
      </c>
      <c r="L32" s="272">
        <v>375</v>
      </c>
      <c r="M32" s="272">
        <v>255</v>
      </c>
      <c r="N32" s="272">
        <v>177</v>
      </c>
      <c r="P32" s="271" t="s">
        <v>692</v>
      </c>
      <c r="Q32" s="272">
        <v>235</v>
      </c>
      <c r="R32" s="272">
        <v>129</v>
      </c>
    </row>
    <row r="33" spans="1:18" s="247" customFormat="1" ht="15.75" x14ac:dyDescent="0.25">
      <c r="A33" s="269" t="s">
        <v>688</v>
      </c>
      <c r="B33" s="270">
        <v>525</v>
      </c>
      <c r="C33" s="270">
        <v>395</v>
      </c>
      <c r="D33" s="270">
        <v>245</v>
      </c>
      <c r="E33" s="270">
        <v>195</v>
      </c>
      <c r="F33" s="270">
        <v>129</v>
      </c>
      <c r="G33" s="270"/>
      <c r="K33" s="273" t="s">
        <v>698</v>
      </c>
      <c r="L33" s="279">
        <v>117</v>
      </c>
      <c r="M33" s="274">
        <v>89</v>
      </c>
      <c r="N33" s="274">
        <v>57</v>
      </c>
      <c r="P33" s="273" t="s">
        <v>694</v>
      </c>
      <c r="Q33" s="274">
        <v>295</v>
      </c>
      <c r="R33" s="274">
        <v>149</v>
      </c>
    </row>
    <row r="34" spans="1:18" s="247" customFormat="1" ht="15.75" x14ac:dyDescent="0.25">
      <c r="A34" s="269" t="s">
        <v>690</v>
      </c>
      <c r="B34" s="270">
        <v>625</v>
      </c>
      <c r="C34" s="270">
        <v>425</v>
      </c>
      <c r="D34" s="270">
        <v>295</v>
      </c>
      <c r="E34" s="270">
        <v>169</v>
      </c>
      <c r="F34" s="270">
        <v>129</v>
      </c>
      <c r="G34" s="270"/>
      <c r="K34" s="271" t="s">
        <v>699</v>
      </c>
      <c r="L34" s="272">
        <v>149</v>
      </c>
      <c r="M34" s="272">
        <v>89</v>
      </c>
      <c r="N34" s="272">
        <v>57</v>
      </c>
      <c r="P34" s="271" t="s">
        <v>695</v>
      </c>
      <c r="Q34" s="272">
        <v>349</v>
      </c>
      <c r="R34" s="272">
        <v>149</v>
      </c>
    </row>
    <row r="35" spans="1:18" s="247" customFormat="1" ht="15.75" x14ac:dyDescent="0.25">
      <c r="A35" s="269" t="s">
        <v>692</v>
      </c>
      <c r="B35" s="270">
        <v>625</v>
      </c>
      <c r="C35" s="270">
        <v>425</v>
      </c>
      <c r="D35" s="270">
        <v>295</v>
      </c>
      <c r="E35" s="270">
        <v>235</v>
      </c>
      <c r="F35" s="270">
        <v>129</v>
      </c>
      <c r="G35" s="270"/>
      <c r="K35" s="273" t="s">
        <v>700</v>
      </c>
      <c r="L35" s="274">
        <v>117</v>
      </c>
      <c r="M35" s="274">
        <v>89</v>
      </c>
      <c r="N35" s="274">
        <v>57</v>
      </c>
      <c r="P35" s="273" t="s">
        <v>696</v>
      </c>
      <c r="Q35" s="274">
        <v>429</v>
      </c>
      <c r="R35" s="274">
        <v>149</v>
      </c>
    </row>
    <row r="36" spans="1:18" s="247" customFormat="1" ht="15.75" x14ac:dyDescent="0.25">
      <c r="A36" s="269" t="s">
        <v>694</v>
      </c>
      <c r="B36" s="270">
        <v>525</v>
      </c>
      <c r="C36" s="270">
        <v>395</v>
      </c>
      <c r="D36" s="270">
        <v>245</v>
      </c>
      <c r="E36" s="270">
        <v>295</v>
      </c>
      <c r="F36" s="270">
        <v>149</v>
      </c>
      <c r="G36" s="270"/>
      <c r="K36" s="271" t="s">
        <v>701</v>
      </c>
      <c r="L36" s="272">
        <v>149</v>
      </c>
      <c r="M36" s="272">
        <v>89</v>
      </c>
      <c r="N36" s="272">
        <v>57</v>
      </c>
      <c r="P36" s="271" t="s">
        <v>697</v>
      </c>
      <c r="Q36" s="272">
        <v>495</v>
      </c>
      <c r="R36" s="272">
        <v>149</v>
      </c>
    </row>
    <row r="37" spans="1:18" s="247" customFormat="1" ht="15.75" x14ac:dyDescent="0.25">
      <c r="A37" s="269" t="s">
        <v>695</v>
      </c>
      <c r="B37" s="270">
        <v>525</v>
      </c>
      <c r="C37" s="270">
        <v>395</v>
      </c>
      <c r="D37" s="270">
        <v>245</v>
      </c>
      <c r="E37" s="270">
        <v>349</v>
      </c>
      <c r="F37" s="270">
        <v>149</v>
      </c>
      <c r="G37" s="270"/>
      <c r="K37" s="273" t="s">
        <v>702</v>
      </c>
      <c r="L37" s="274">
        <v>117</v>
      </c>
      <c r="M37" s="274">
        <v>89</v>
      </c>
      <c r="N37" s="274">
        <v>57</v>
      </c>
      <c r="P37" s="273" t="s">
        <v>703</v>
      </c>
      <c r="Q37" s="274">
        <v>499</v>
      </c>
      <c r="R37" s="274">
        <v>0</v>
      </c>
    </row>
    <row r="38" spans="1:18" s="247" customFormat="1" ht="15.75" x14ac:dyDescent="0.25">
      <c r="A38" s="269" t="s">
        <v>696</v>
      </c>
      <c r="B38" s="270">
        <v>625</v>
      </c>
      <c r="C38" s="270">
        <v>425</v>
      </c>
      <c r="D38" s="270">
        <v>295</v>
      </c>
      <c r="E38" s="270">
        <v>429</v>
      </c>
      <c r="F38" s="270">
        <v>149</v>
      </c>
      <c r="G38" s="270"/>
      <c r="K38" s="271" t="s">
        <v>704</v>
      </c>
      <c r="L38" s="272">
        <v>149</v>
      </c>
      <c r="M38" s="272">
        <v>89</v>
      </c>
      <c r="N38" s="272">
        <v>57</v>
      </c>
      <c r="P38" s="271" t="s">
        <v>705</v>
      </c>
      <c r="Q38" s="272">
        <v>699</v>
      </c>
      <c r="R38" s="272">
        <v>0</v>
      </c>
    </row>
    <row r="39" spans="1:18" s="247" customFormat="1" ht="15.75" x14ac:dyDescent="0.25">
      <c r="A39" s="269" t="s">
        <v>697</v>
      </c>
      <c r="B39" s="270">
        <v>625</v>
      </c>
      <c r="C39" s="270">
        <v>425</v>
      </c>
      <c r="D39" s="270">
        <v>295</v>
      </c>
      <c r="E39" s="270">
        <v>495</v>
      </c>
      <c r="F39" s="270">
        <v>149</v>
      </c>
      <c r="G39" s="270"/>
      <c r="K39" s="273" t="s">
        <v>706</v>
      </c>
      <c r="L39" s="274">
        <v>117</v>
      </c>
      <c r="M39" s="274">
        <v>89</v>
      </c>
      <c r="N39" s="274">
        <v>57</v>
      </c>
      <c r="P39" s="273" t="s">
        <v>707</v>
      </c>
      <c r="Q39" s="274">
        <v>495</v>
      </c>
      <c r="R39" s="274">
        <v>0</v>
      </c>
    </row>
    <row r="40" spans="1:18" s="247" customFormat="1" ht="15.75" x14ac:dyDescent="0.25">
      <c r="A40" s="269" t="s">
        <v>703</v>
      </c>
      <c r="B40" s="270"/>
      <c r="C40" s="270"/>
      <c r="D40" s="270"/>
      <c r="E40" s="270">
        <v>499</v>
      </c>
      <c r="F40" s="270"/>
      <c r="G40" s="270"/>
      <c r="K40" s="271" t="s">
        <v>708</v>
      </c>
      <c r="L40" s="280">
        <v>149</v>
      </c>
      <c r="M40" s="280">
        <v>89</v>
      </c>
      <c r="N40" s="280">
        <v>57</v>
      </c>
      <c r="P40" s="271" t="s">
        <v>709</v>
      </c>
      <c r="Q40" s="272">
        <v>790</v>
      </c>
      <c r="R40" s="272">
        <v>0</v>
      </c>
    </row>
    <row r="41" spans="1:18" s="247" customFormat="1" ht="15.75" x14ac:dyDescent="0.25">
      <c r="A41" s="269" t="s">
        <v>710</v>
      </c>
      <c r="B41" s="270">
        <v>249</v>
      </c>
      <c r="C41" s="270">
        <v>149</v>
      </c>
      <c r="D41" s="270">
        <v>95</v>
      </c>
      <c r="E41" s="270">
        <v>395</v>
      </c>
      <c r="F41" s="270"/>
      <c r="G41" s="270"/>
      <c r="K41" s="273" t="s">
        <v>711</v>
      </c>
      <c r="L41" s="281">
        <v>75</v>
      </c>
      <c r="M41" s="281" t="s">
        <v>667</v>
      </c>
      <c r="N41" s="281" t="s">
        <v>667</v>
      </c>
      <c r="P41" s="273" t="s">
        <v>698</v>
      </c>
      <c r="Q41" s="274">
        <v>149</v>
      </c>
      <c r="R41" s="274">
        <v>0</v>
      </c>
    </row>
    <row r="42" spans="1:18" s="247" customFormat="1" ht="15.75" x14ac:dyDescent="0.25">
      <c r="A42" s="269" t="s">
        <v>702</v>
      </c>
      <c r="B42" s="270">
        <v>195</v>
      </c>
      <c r="C42" s="270">
        <v>149</v>
      </c>
      <c r="D42" s="270">
        <v>95</v>
      </c>
      <c r="E42" s="270">
        <v>149</v>
      </c>
      <c r="F42" s="270"/>
      <c r="G42" s="270"/>
      <c r="K42" s="271" t="s">
        <v>712</v>
      </c>
      <c r="L42" s="280">
        <v>95</v>
      </c>
      <c r="M42" s="280" t="s">
        <v>667</v>
      </c>
      <c r="N42" s="280">
        <v>57</v>
      </c>
      <c r="P42" s="271" t="s">
        <v>699</v>
      </c>
      <c r="Q42" s="272">
        <v>395</v>
      </c>
      <c r="R42" s="272">
        <v>0</v>
      </c>
    </row>
    <row r="43" spans="1:18" s="247" customFormat="1" ht="15.75" x14ac:dyDescent="0.25">
      <c r="A43" s="269" t="s">
        <v>704</v>
      </c>
      <c r="B43" s="270">
        <v>249</v>
      </c>
      <c r="C43" s="270">
        <v>149</v>
      </c>
      <c r="D43" s="270">
        <v>95</v>
      </c>
      <c r="E43" s="270">
        <v>195</v>
      </c>
      <c r="F43" s="270">
        <v>95</v>
      </c>
      <c r="G43" s="270"/>
      <c r="K43" s="250"/>
      <c r="L43" s="250"/>
      <c r="M43" s="250"/>
      <c r="N43" s="250"/>
      <c r="P43" s="273" t="s">
        <v>700</v>
      </c>
      <c r="Q43" s="274">
        <v>149</v>
      </c>
      <c r="R43" s="274">
        <v>0</v>
      </c>
    </row>
    <row r="44" spans="1:18" s="247" customFormat="1" ht="15.75" x14ac:dyDescent="0.25">
      <c r="A44" s="269" t="s">
        <v>706</v>
      </c>
      <c r="B44" s="270">
        <v>195</v>
      </c>
      <c r="C44" s="270">
        <v>149</v>
      </c>
      <c r="D44" s="270">
        <v>95</v>
      </c>
      <c r="E44" s="270">
        <v>195</v>
      </c>
      <c r="F44" s="270"/>
      <c r="G44" s="270"/>
      <c r="K44" s="250"/>
      <c r="L44" s="250"/>
      <c r="M44" s="250"/>
      <c r="N44" s="250"/>
      <c r="P44" s="271" t="s">
        <v>701</v>
      </c>
      <c r="Q44" s="272">
        <v>395</v>
      </c>
      <c r="R44" s="272">
        <v>0</v>
      </c>
    </row>
    <row r="45" spans="1:18" s="247" customFormat="1" ht="15.75" x14ac:dyDescent="0.25">
      <c r="A45" s="269" t="s">
        <v>708</v>
      </c>
      <c r="B45" s="270">
        <v>249</v>
      </c>
      <c r="C45" s="270">
        <v>149</v>
      </c>
      <c r="D45" s="270">
        <v>95</v>
      </c>
      <c r="E45" s="270">
        <v>249</v>
      </c>
      <c r="F45" s="270">
        <v>149</v>
      </c>
      <c r="G45" s="270"/>
      <c r="K45" s="250"/>
      <c r="L45" s="250"/>
      <c r="M45" s="250"/>
      <c r="N45" s="250"/>
      <c r="P45" s="273" t="s">
        <v>702</v>
      </c>
      <c r="Q45" s="274">
        <v>149</v>
      </c>
      <c r="R45" s="274">
        <v>0</v>
      </c>
    </row>
    <row r="46" spans="1:18" s="247" customFormat="1" ht="15.75" x14ac:dyDescent="0.25">
      <c r="A46" s="269" t="s">
        <v>711</v>
      </c>
      <c r="B46" s="270">
        <v>125</v>
      </c>
      <c r="C46" s="270"/>
      <c r="D46" s="270"/>
      <c r="E46" s="270">
        <v>125</v>
      </c>
      <c r="F46" s="270"/>
      <c r="G46" s="270"/>
      <c r="K46" s="250"/>
      <c r="L46" s="250"/>
      <c r="M46" s="250"/>
      <c r="N46" s="250"/>
      <c r="P46" s="271" t="s">
        <v>704</v>
      </c>
      <c r="Q46" s="272">
        <v>195</v>
      </c>
      <c r="R46" s="272">
        <v>95</v>
      </c>
    </row>
    <row r="47" spans="1:18" s="247" customFormat="1" ht="15.75" x14ac:dyDescent="0.25">
      <c r="A47" s="269" t="s">
        <v>712</v>
      </c>
      <c r="B47" s="270">
        <v>158</v>
      </c>
      <c r="C47" s="270"/>
      <c r="D47" s="270">
        <v>95</v>
      </c>
      <c r="E47" s="270"/>
      <c r="F47" s="270"/>
      <c r="G47" s="270"/>
      <c r="K47" s="250"/>
      <c r="L47" s="250"/>
      <c r="M47" s="250"/>
      <c r="N47" s="250"/>
      <c r="P47" s="273" t="s">
        <v>706</v>
      </c>
      <c r="Q47" s="274">
        <v>195</v>
      </c>
      <c r="R47" s="274">
        <v>0</v>
      </c>
    </row>
    <row r="48" spans="1:18" s="247" customFormat="1" x14ac:dyDescent="0.2">
      <c r="K48" s="250"/>
      <c r="L48" s="250"/>
      <c r="M48" s="250"/>
      <c r="N48" s="250"/>
      <c r="P48" s="271" t="s">
        <v>708</v>
      </c>
      <c r="Q48" s="280">
        <v>249</v>
      </c>
      <c r="R48" s="280">
        <v>149</v>
      </c>
    </row>
    <row r="49" spans="1:27" s="247" customFormat="1" x14ac:dyDescent="0.2">
      <c r="A49" s="282"/>
      <c r="K49" s="250"/>
      <c r="L49" s="250"/>
      <c r="M49" s="250"/>
      <c r="N49" s="250"/>
      <c r="P49" s="273" t="s">
        <v>711</v>
      </c>
      <c r="Q49" s="281">
        <v>125</v>
      </c>
      <c r="R49" s="281">
        <v>0</v>
      </c>
    </row>
    <row r="50" spans="1:27" s="247" customFormat="1" x14ac:dyDescent="0.2">
      <c r="A50" s="250"/>
      <c r="K50" s="250"/>
      <c r="L50" s="250"/>
      <c r="M50" s="250"/>
      <c r="N50" s="250"/>
      <c r="P50" s="271" t="s">
        <v>712</v>
      </c>
      <c r="Q50" s="280">
        <v>0</v>
      </c>
      <c r="R50" s="280">
        <v>0</v>
      </c>
    </row>
    <row r="51" spans="1:27" s="247" customFormat="1" x14ac:dyDescent="0.2">
      <c r="A51" s="250"/>
      <c r="K51" s="250"/>
      <c r="L51" s="250"/>
      <c r="M51" s="250"/>
      <c r="N51" s="250"/>
    </row>
    <row r="52" spans="1:27" s="247" customFormat="1" x14ac:dyDescent="0.2">
      <c r="A52" s="250"/>
    </row>
    <row r="53" spans="1:27" x14ac:dyDescent="0.2">
      <c r="AA53" s="250"/>
    </row>
    <row r="54" spans="1:27" s="247" customFormat="1" ht="16.5" thickBot="1" x14ac:dyDescent="0.3">
      <c r="A54" s="283" t="s">
        <v>713</v>
      </c>
      <c r="B54" s="258" t="s">
        <v>655</v>
      </c>
      <c r="C54" s="258" t="s">
        <v>656</v>
      </c>
      <c r="D54" s="258" t="s">
        <v>657</v>
      </c>
      <c r="E54" s="258" t="s">
        <v>658</v>
      </c>
      <c r="F54" s="258" t="s">
        <v>659</v>
      </c>
      <c r="G54" s="258" t="s">
        <v>660</v>
      </c>
      <c r="H54" s="259"/>
      <c r="I54" s="259"/>
      <c r="J54" s="259"/>
      <c r="K54" s="284" t="s">
        <v>714</v>
      </c>
      <c r="L54" s="261" t="s">
        <v>655</v>
      </c>
      <c r="M54" s="261" t="s">
        <v>656</v>
      </c>
      <c r="N54" s="261" t="s">
        <v>657</v>
      </c>
    </row>
    <row r="55" spans="1:27" s="247" customFormat="1" ht="16.5" thickTop="1" x14ac:dyDescent="0.25">
      <c r="A55" s="263" t="s">
        <v>663</v>
      </c>
      <c r="B55" s="285">
        <v>61</v>
      </c>
      <c r="C55" s="285">
        <v>61</v>
      </c>
      <c r="D55" s="285">
        <v>61</v>
      </c>
      <c r="E55" s="285">
        <v>61</v>
      </c>
      <c r="F55" s="285">
        <v>61</v>
      </c>
      <c r="G55" s="285">
        <v>61</v>
      </c>
      <c r="K55" s="266" t="s">
        <v>664</v>
      </c>
      <c r="L55" s="267">
        <v>45</v>
      </c>
      <c r="M55" s="268"/>
      <c r="N55" s="268"/>
    </row>
    <row r="56" spans="1:27" s="247" customFormat="1" ht="15.75" x14ac:dyDescent="0.25">
      <c r="A56" s="269" t="s">
        <v>665</v>
      </c>
      <c r="B56" s="286">
        <v>169</v>
      </c>
      <c r="C56" s="286">
        <v>101</v>
      </c>
      <c r="D56" s="286"/>
      <c r="E56" s="286"/>
      <c r="F56" s="286"/>
      <c r="G56" s="286"/>
      <c r="K56" s="271" t="s">
        <v>663</v>
      </c>
      <c r="L56" s="272">
        <v>36</v>
      </c>
      <c r="M56" s="272">
        <v>36</v>
      </c>
      <c r="N56" s="272">
        <v>36</v>
      </c>
    </row>
    <row r="57" spans="1:27" s="247" customFormat="1" ht="15.75" x14ac:dyDescent="0.25">
      <c r="A57" s="269" t="s">
        <v>666</v>
      </c>
      <c r="B57" s="286">
        <v>169</v>
      </c>
      <c r="C57" s="286"/>
      <c r="D57" s="286"/>
      <c r="E57" s="286">
        <v>174</v>
      </c>
      <c r="F57" s="286"/>
      <c r="G57" s="286"/>
      <c r="K57" s="273" t="s">
        <v>665</v>
      </c>
      <c r="L57" s="274" t="s">
        <v>667</v>
      </c>
      <c r="M57" s="274">
        <v>168</v>
      </c>
      <c r="N57" s="274" t="s">
        <v>667</v>
      </c>
    </row>
    <row r="58" spans="1:27" s="247" customFormat="1" ht="15.75" x14ac:dyDescent="0.25">
      <c r="A58" s="269" t="s">
        <v>668</v>
      </c>
      <c r="B58" s="286">
        <v>169</v>
      </c>
      <c r="C58" s="286"/>
      <c r="D58" s="286"/>
      <c r="E58" s="286">
        <v>263</v>
      </c>
      <c r="F58" s="286"/>
      <c r="G58" s="286"/>
      <c r="K58" s="271" t="s">
        <v>669</v>
      </c>
      <c r="L58" s="272">
        <v>101</v>
      </c>
      <c r="M58" s="272" t="s">
        <v>667</v>
      </c>
      <c r="N58" s="272" t="s">
        <v>667</v>
      </c>
    </row>
    <row r="59" spans="1:27" s="247" customFormat="1" ht="30.75" x14ac:dyDescent="0.25">
      <c r="A59" s="269" t="s">
        <v>670</v>
      </c>
      <c r="B59" s="286">
        <v>668</v>
      </c>
      <c r="C59" s="286">
        <v>533</v>
      </c>
      <c r="D59" s="286">
        <v>201</v>
      </c>
      <c r="E59" s="286">
        <v>533</v>
      </c>
      <c r="F59" s="286"/>
      <c r="G59" s="286"/>
      <c r="K59" s="273" t="s">
        <v>671</v>
      </c>
      <c r="L59" s="274">
        <v>101</v>
      </c>
      <c r="M59" s="274" t="s">
        <v>667</v>
      </c>
      <c r="N59" s="274" t="s">
        <v>667</v>
      </c>
    </row>
    <row r="60" spans="1:27" s="247" customFormat="1" ht="15.75" x14ac:dyDescent="0.25">
      <c r="A60" s="269" t="s">
        <v>672</v>
      </c>
      <c r="B60" s="286">
        <v>201</v>
      </c>
      <c r="C60" s="286">
        <v>155</v>
      </c>
      <c r="D60" s="286">
        <v>68</v>
      </c>
      <c r="E60" s="286">
        <v>201</v>
      </c>
      <c r="F60" s="286" t="s">
        <v>715</v>
      </c>
      <c r="G60" s="286"/>
      <c r="K60" s="271" t="s">
        <v>672</v>
      </c>
      <c r="L60" s="272">
        <v>120</v>
      </c>
      <c r="M60" s="272">
        <v>93</v>
      </c>
      <c r="N60" s="272">
        <v>30</v>
      </c>
    </row>
    <row r="61" spans="1:27" s="247" customFormat="1" ht="15.75" x14ac:dyDescent="0.25">
      <c r="A61" s="269" t="s">
        <v>674</v>
      </c>
      <c r="B61" s="286">
        <v>938</v>
      </c>
      <c r="C61" s="286">
        <v>668</v>
      </c>
      <c r="D61" s="286">
        <v>398</v>
      </c>
      <c r="E61" s="286">
        <v>668</v>
      </c>
      <c r="F61" s="286" t="s">
        <v>715</v>
      </c>
      <c r="G61" s="286"/>
      <c r="K61" s="273" t="s">
        <v>670</v>
      </c>
      <c r="L61" s="274">
        <v>401</v>
      </c>
      <c r="M61" s="274">
        <v>320</v>
      </c>
      <c r="N61" s="274">
        <v>89</v>
      </c>
    </row>
    <row r="62" spans="1:27" s="247" customFormat="1" ht="15.75" x14ac:dyDescent="0.25">
      <c r="A62" s="269" t="s">
        <v>676</v>
      </c>
      <c r="B62" s="286">
        <v>1613</v>
      </c>
      <c r="C62" s="286">
        <v>1073</v>
      </c>
      <c r="D62" s="286">
        <v>606</v>
      </c>
      <c r="E62" s="286">
        <v>1195</v>
      </c>
      <c r="F62" s="286" t="s">
        <v>715</v>
      </c>
      <c r="G62" s="286"/>
      <c r="K62" s="271" t="s">
        <v>677</v>
      </c>
      <c r="L62" s="272">
        <v>563</v>
      </c>
      <c r="M62" s="272">
        <v>401</v>
      </c>
      <c r="N62" s="272">
        <v>177</v>
      </c>
    </row>
    <row r="63" spans="1:27" s="247" customFormat="1" ht="15.75" x14ac:dyDescent="0.25">
      <c r="A63" s="269" t="s">
        <v>679</v>
      </c>
      <c r="B63" s="286">
        <v>2963</v>
      </c>
      <c r="C63" s="286">
        <v>1883</v>
      </c>
      <c r="D63" s="286">
        <v>938</v>
      </c>
      <c r="E63" s="286">
        <v>1941</v>
      </c>
      <c r="F63" s="286" t="s">
        <v>715</v>
      </c>
      <c r="G63" s="286"/>
      <c r="K63" s="273" t="s">
        <v>680</v>
      </c>
      <c r="L63" s="274">
        <v>968</v>
      </c>
      <c r="M63" s="274">
        <v>644</v>
      </c>
      <c r="N63" s="274">
        <v>269</v>
      </c>
    </row>
    <row r="64" spans="1:27" s="247" customFormat="1" ht="15.75" x14ac:dyDescent="0.25">
      <c r="A64" s="269" t="s">
        <v>682</v>
      </c>
      <c r="B64" s="278" t="s">
        <v>683</v>
      </c>
      <c r="C64" s="278" t="s">
        <v>683</v>
      </c>
      <c r="D64" s="278" t="s">
        <v>683</v>
      </c>
      <c r="E64" s="278" t="s">
        <v>683</v>
      </c>
      <c r="F64" s="286"/>
      <c r="G64" s="286"/>
      <c r="K64" s="271" t="s">
        <v>681</v>
      </c>
      <c r="L64" s="272">
        <v>101</v>
      </c>
      <c r="M64" s="272" t="s">
        <v>667</v>
      </c>
      <c r="N64" s="272" t="s">
        <v>667</v>
      </c>
    </row>
    <row r="65" spans="1:14" s="247" customFormat="1" ht="15.75" x14ac:dyDescent="0.25">
      <c r="A65" s="269" t="s">
        <v>685</v>
      </c>
      <c r="B65" s="286"/>
      <c r="C65" s="286"/>
      <c r="D65" s="286"/>
      <c r="E65" s="286">
        <v>201</v>
      </c>
      <c r="F65" s="286"/>
      <c r="G65" s="286"/>
      <c r="K65" s="273" t="s">
        <v>686</v>
      </c>
      <c r="L65" s="274">
        <v>401</v>
      </c>
      <c r="M65" s="274">
        <v>320</v>
      </c>
      <c r="N65" s="274">
        <v>89</v>
      </c>
    </row>
    <row r="66" spans="1:14" s="247" customFormat="1" ht="15.75" x14ac:dyDescent="0.25">
      <c r="A66" s="269" t="s">
        <v>681</v>
      </c>
      <c r="B66" s="286">
        <v>169</v>
      </c>
      <c r="C66" s="286"/>
      <c r="D66" s="286"/>
      <c r="E66" s="286">
        <v>169</v>
      </c>
      <c r="F66" s="286"/>
      <c r="G66" s="286"/>
      <c r="K66" s="271" t="s">
        <v>688</v>
      </c>
      <c r="L66" s="272">
        <v>401</v>
      </c>
      <c r="M66" s="272">
        <v>320</v>
      </c>
      <c r="N66" s="272">
        <v>89</v>
      </c>
    </row>
    <row r="67" spans="1:14" s="247" customFormat="1" ht="15.75" x14ac:dyDescent="0.25">
      <c r="A67" s="269" t="s">
        <v>684</v>
      </c>
      <c r="B67" s="286"/>
      <c r="C67" s="286"/>
      <c r="D67" s="286"/>
      <c r="E67" s="286">
        <v>128</v>
      </c>
      <c r="F67" s="286">
        <v>47</v>
      </c>
      <c r="G67" s="286"/>
      <c r="K67" s="273" t="s">
        <v>690</v>
      </c>
      <c r="L67" s="274">
        <v>482</v>
      </c>
      <c r="M67" s="274">
        <v>401</v>
      </c>
      <c r="N67" s="274">
        <v>119</v>
      </c>
    </row>
    <row r="68" spans="1:14" s="247" customFormat="1" ht="15.75" x14ac:dyDescent="0.25">
      <c r="A68" s="269" t="s">
        <v>687</v>
      </c>
      <c r="B68" s="286"/>
      <c r="C68" s="286"/>
      <c r="D68" s="286"/>
      <c r="E68" s="286">
        <v>336</v>
      </c>
      <c r="F68" s="286">
        <v>47</v>
      </c>
      <c r="G68" s="286"/>
      <c r="K68" s="271" t="s">
        <v>692</v>
      </c>
      <c r="L68" s="272">
        <v>482</v>
      </c>
      <c r="M68" s="272">
        <v>401</v>
      </c>
      <c r="N68" s="272">
        <v>119</v>
      </c>
    </row>
    <row r="69" spans="1:14" s="247" customFormat="1" ht="15.75" x14ac:dyDescent="0.25">
      <c r="A69" s="269" t="s">
        <v>689</v>
      </c>
      <c r="B69" s="286"/>
      <c r="C69" s="286"/>
      <c r="D69" s="286"/>
      <c r="E69" s="286">
        <v>201</v>
      </c>
      <c r="F69" s="286">
        <v>201</v>
      </c>
      <c r="G69" s="286"/>
      <c r="K69" s="273" t="s">
        <v>694</v>
      </c>
      <c r="L69" s="274">
        <v>401</v>
      </c>
      <c r="M69" s="274">
        <v>320</v>
      </c>
      <c r="N69" s="274">
        <v>89</v>
      </c>
    </row>
    <row r="70" spans="1:14" s="247" customFormat="1" ht="15.75" x14ac:dyDescent="0.25">
      <c r="A70" s="269" t="s">
        <v>691</v>
      </c>
      <c r="B70" s="286"/>
      <c r="C70" s="286"/>
      <c r="D70" s="286"/>
      <c r="E70" s="286">
        <v>101</v>
      </c>
      <c r="F70" s="286">
        <v>101</v>
      </c>
      <c r="G70" s="286"/>
      <c r="K70" s="271" t="s">
        <v>695</v>
      </c>
      <c r="L70" s="272">
        <v>401</v>
      </c>
      <c r="M70" s="272">
        <v>320</v>
      </c>
      <c r="N70" s="272">
        <v>89</v>
      </c>
    </row>
    <row r="71" spans="1:14" s="247" customFormat="1" ht="15.75" x14ac:dyDescent="0.25">
      <c r="A71" s="269" t="s">
        <v>693</v>
      </c>
      <c r="B71" s="286"/>
      <c r="C71" s="286"/>
      <c r="D71" s="286"/>
      <c r="E71" s="286">
        <v>398</v>
      </c>
      <c r="F71" s="286">
        <v>263</v>
      </c>
      <c r="G71" s="286"/>
      <c r="K71" s="273" t="s">
        <v>696</v>
      </c>
      <c r="L71" s="274">
        <v>482</v>
      </c>
      <c r="M71" s="274">
        <v>401</v>
      </c>
      <c r="N71" s="274">
        <v>119</v>
      </c>
    </row>
    <row r="72" spans="1:14" s="247" customFormat="1" ht="15.75" x14ac:dyDescent="0.25">
      <c r="A72" s="269" t="s">
        <v>686</v>
      </c>
      <c r="B72" s="286">
        <v>709</v>
      </c>
      <c r="C72" s="286">
        <v>533</v>
      </c>
      <c r="D72" s="286">
        <v>331</v>
      </c>
      <c r="E72" s="286">
        <v>174</v>
      </c>
      <c r="F72" s="286">
        <v>101</v>
      </c>
      <c r="G72" s="286"/>
      <c r="K72" s="271" t="s">
        <v>697</v>
      </c>
      <c r="L72" s="272">
        <v>482</v>
      </c>
      <c r="M72" s="272">
        <v>401</v>
      </c>
      <c r="N72" s="272">
        <v>119</v>
      </c>
    </row>
    <row r="73" spans="1:14" s="247" customFormat="1" ht="15.75" x14ac:dyDescent="0.25">
      <c r="A73" s="269" t="s">
        <v>688</v>
      </c>
      <c r="B73" s="286">
        <v>709</v>
      </c>
      <c r="C73" s="286">
        <v>533</v>
      </c>
      <c r="D73" s="286">
        <v>331</v>
      </c>
      <c r="E73" s="286">
        <v>263</v>
      </c>
      <c r="F73" s="286">
        <v>174</v>
      </c>
      <c r="G73" s="286"/>
      <c r="K73" s="273" t="s">
        <v>698</v>
      </c>
      <c r="L73" s="274">
        <v>158</v>
      </c>
      <c r="M73" s="274">
        <v>120</v>
      </c>
      <c r="N73" s="274">
        <v>57</v>
      </c>
    </row>
    <row r="74" spans="1:14" s="247" customFormat="1" ht="15.75" x14ac:dyDescent="0.25">
      <c r="A74" s="269" t="s">
        <v>690</v>
      </c>
      <c r="B74" s="286">
        <v>844</v>
      </c>
      <c r="C74" s="286">
        <v>574</v>
      </c>
      <c r="D74" s="286">
        <v>398</v>
      </c>
      <c r="E74" s="286">
        <v>228</v>
      </c>
      <c r="F74" s="286">
        <v>174</v>
      </c>
      <c r="G74" s="286"/>
      <c r="K74" s="271" t="s">
        <v>699</v>
      </c>
      <c r="L74" s="272">
        <v>202</v>
      </c>
      <c r="M74" s="272">
        <v>120</v>
      </c>
      <c r="N74" s="272">
        <v>57</v>
      </c>
    </row>
    <row r="75" spans="1:14" s="247" customFormat="1" ht="15.75" x14ac:dyDescent="0.25">
      <c r="A75" s="269" t="s">
        <v>692</v>
      </c>
      <c r="B75" s="286">
        <v>844</v>
      </c>
      <c r="C75" s="286">
        <v>574</v>
      </c>
      <c r="D75" s="286">
        <v>398</v>
      </c>
      <c r="E75" s="286">
        <v>317</v>
      </c>
      <c r="F75" s="286">
        <v>174</v>
      </c>
      <c r="G75" s="286"/>
      <c r="K75" s="273" t="s">
        <v>700</v>
      </c>
      <c r="L75" s="274">
        <v>158</v>
      </c>
      <c r="M75" s="274">
        <v>120</v>
      </c>
      <c r="N75" s="274">
        <v>57</v>
      </c>
    </row>
    <row r="76" spans="1:14" s="247" customFormat="1" ht="15.75" x14ac:dyDescent="0.25">
      <c r="A76" s="269" t="s">
        <v>694</v>
      </c>
      <c r="B76" s="286">
        <v>709</v>
      </c>
      <c r="C76" s="286">
        <v>533</v>
      </c>
      <c r="D76" s="286">
        <v>331</v>
      </c>
      <c r="E76" s="286">
        <v>398</v>
      </c>
      <c r="F76" s="286">
        <v>201</v>
      </c>
      <c r="G76" s="286"/>
      <c r="K76" s="271" t="s">
        <v>701</v>
      </c>
      <c r="L76" s="272">
        <v>202</v>
      </c>
      <c r="M76" s="272">
        <v>120</v>
      </c>
      <c r="N76" s="272">
        <v>57</v>
      </c>
    </row>
    <row r="77" spans="1:14" s="247" customFormat="1" ht="15.75" x14ac:dyDescent="0.25">
      <c r="A77" s="269" t="s">
        <v>695</v>
      </c>
      <c r="B77" s="286">
        <v>709</v>
      </c>
      <c r="C77" s="286">
        <v>533</v>
      </c>
      <c r="D77" s="286">
        <v>331</v>
      </c>
      <c r="E77" s="286">
        <v>471</v>
      </c>
      <c r="F77" s="286">
        <v>201</v>
      </c>
      <c r="G77" s="286"/>
      <c r="K77" s="273" t="s">
        <v>702</v>
      </c>
      <c r="L77" s="274">
        <v>158</v>
      </c>
      <c r="M77" s="274">
        <v>120</v>
      </c>
      <c r="N77" s="274">
        <v>57</v>
      </c>
    </row>
    <row r="78" spans="1:14" s="247" customFormat="1" ht="15.75" x14ac:dyDescent="0.25">
      <c r="A78" s="269" t="s">
        <v>696</v>
      </c>
      <c r="B78" s="286">
        <v>844</v>
      </c>
      <c r="C78" s="286">
        <v>574</v>
      </c>
      <c r="D78" s="286">
        <v>398</v>
      </c>
      <c r="E78" s="286">
        <v>579</v>
      </c>
      <c r="F78" s="286">
        <v>201</v>
      </c>
      <c r="G78" s="286"/>
      <c r="K78" s="271" t="s">
        <v>704</v>
      </c>
      <c r="L78" s="272">
        <v>202</v>
      </c>
      <c r="M78" s="272">
        <v>120</v>
      </c>
      <c r="N78" s="272">
        <v>57</v>
      </c>
    </row>
    <row r="79" spans="1:14" s="247" customFormat="1" ht="15.75" x14ac:dyDescent="0.25">
      <c r="A79" s="269" t="s">
        <v>697</v>
      </c>
      <c r="B79" s="286">
        <v>844</v>
      </c>
      <c r="C79" s="286">
        <v>574</v>
      </c>
      <c r="D79" s="286">
        <v>398</v>
      </c>
      <c r="E79" s="286">
        <v>668</v>
      </c>
      <c r="F79" s="286">
        <v>201</v>
      </c>
      <c r="G79" s="286"/>
      <c r="K79" s="273" t="s">
        <v>706</v>
      </c>
      <c r="L79" s="274">
        <v>158</v>
      </c>
      <c r="M79" s="274">
        <v>120</v>
      </c>
      <c r="N79" s="274">
        <v>57</v>
      </c>
    </row>
    <row r="80" spans="1:14" s="247" customFormat="1" ht="15.75" x14ac:dyDescent="0.25">
      <c r="A80" s="269" t="s">
        <v>703</v>
      </c>
      <c r="B80" s="286"/>
      <c r="C80" s="286"/>
      <c r="D80" s="286"/>
      <c r="E80" s="286">
        <v>674</v>
      </c>
      <c r="F80" s="286"/>
      <c r="G80" s="286"/>
      <c r="K80" s="271" t="s">
        <v>708</v>
      </c>
      <c r="L80" s="280">
        <v>202</v>
      </c>
      <c r="M80" s="280">
        <v>120</v>
      </c>
      <c r="N80" s="280">
        <v>57</v>
      </c>
    </row>
    <row r="81" spans="1:14" s="247" customFormat="1" ht="15.75" x14ac:dyDescent="0.25">
      <c r="A81" s="269" t="s">
        <v>710</v>
      </c>
      <c r="B81" s="286">
        <v>336</v>
      </c>
      <c r="C81" s="286">
        <v>201</v>
      </c>
      <c r="D81" s="286">
        <v>128</v>
      </c>
      <c r="E81" s="286">
        <v>533</v>
      </c>
      <c r="F81" s="286"/>
      <c r="G81" s="286"/>
      <c r="K81" s="273" t="s">
        <v>711</v>
      </c>
      <c r="L81" s="281">
        <v>101</v>
      </c>
      <c r="M81" s="281" t="s">
        <v>667</v>
      </c>
      <c r="N81" s="281" t="s">
        <v>667</v>
      </c>
    </row>
    <row r="82" spans="1:14" s="247" customFormat="1" ht="15.75" x14ac:dyDescent="0.25">
      <c r="A82" s="269" t="s">
        <v>702</v>
      </c>
      <c r="B82" s="286">
        <v>263</v>
      </c>
      <c r="C82" s="286">
        <v>201</v>
      </c>
      <c r="D82" s="286">
        <v>128</v>
      </c>
      <c r="E82" s="286">
        <v>201</v>
      </c>
      <c r="F82" s="286"/>
      <c r="G82" s="286"/>
      <c r="K82" s="271" t="s">
        <v>712</v>
      </c>
      <c r="L82" s="280">
        <v>128</v>
      </c>
      <c r="M82" s="280" t="s">
        <v>667</v>
      </c>
      <c r="N82" s="280">
        <v>57</v>
      </c>
    </row>
    <row r="83" spans="1:14" s="247" customFormat="1" ht="15.75" x14ac:dyDescent="0.25">
      <c r="A83" s="269" t="s">
        <v>704</v>
      </c>
      <c r="B83" s="286">
        <v>336</v>
      </c>
      <c r="C83" s="286">
        <v>201</v>
      </c>
      <c r="D83" s="286">
        <v>128</v>
      </c>
      <c r="E83" s="286">
        <v>263</v>
      </c>
      <c r="F83" s="286">
        <v>128</v>
      </c>
      <c r="G83" s="286"/>
    </row>
    <row r="84" spans="1:14" s="247" customFormat="1" ht="15.75" x14ac:dyDescent="0.25">
      <c r="A84" s="269" t="s">
        <v>706</v>
      </c>
      <c r="B84" s="286">
        <v>263</v>
      </c>
      <c r="C84" s="286">
        <v>201</v>
      </c>
      <c r="D84" s="286">
        <v>128</v>
      </c>
      <c r="E84" s="286">
        <v>263</v>
      </c>
      <c r="F84" s="286"/>
      <c r="G84" s="286"/>
    </row>
    <row r="85" spans="1:14" s="247" customFormat="1" ht="15.75" x14ac:dyDescent="0.25">
      <c r="A85" s="269" t="s">
        <v>708</v>
      </c>
      <c r="B85" s="286">
        <v>336</v>
      </c>
      <c r="C85" s="286">
        <v>201</v>
      </c>
      <c r="D85" s="286">
        <v>128</v>
      </c>
      <c r="E85" s="286">
        <v>336</v>
      </c>
      <c r="F85" s="286">
        <v>201</v>
      </c>
      <c r="G85" s="286"/>
    </row>
    <row r="86" spans="1:14" s="247" customFormat="1" ht="15.75" x14ac:dyDescent="0.25">
      <c r="A86" s="269" t="s">
        <v>711</v>
      </c>
      <c r="B86" s="286">
        <v>169</v>
      </c>
      <c r="C86" s="286"/>
      <c r="D86" s="286"/>
      <c r="E86" s="286">
        <v>169</v>
      </c>
      <c r="F86" s="286"/>
      <c r="G86" s="286"/>
    </row>
    <row r="87" spans="1:14" s="247" customFormat="1" ht="15.75" x14ac:dyDescent="0.25">
      <c r="A87" s="269" t="s">
        <v>712</v>
      </c>
      <c r="B87" s="286">
        <v>213</v>
      </c>
      <c r="C87" s="286"/>
      <c r="D87" s="286">
        <v>128</v>
      </c>
      <c r="E87" s="286"/>
      <c r="F87" s="286"/>
      <c r="G87" s="286"/>
    </row>
    <row r="88" spans="1:14" s="247" customFormat="1" x14ac:dyDescent="0.2">
      <c r="A88" s="250"/>
    </row>
    <row r="1048541" spans="1:11" x14ac:dyDescent="0.2">
      <c r="A1048541" s="247"/>
    </row>
    <row r="1048542" spans="1:11" s="247" customFormat="1" x14ac:dyDescent="0.2">
      <c r="A1048542" s="250"/>
      <c r="I1048542" s="247" t="e">
        <f>#REF!+G1048505</f>
        <v>#REF!</v>
      </c>
      <c r="J1048542" s="247" t="e">
        <f>#REF!+#REF!</f>
        <v>#REF!</v>
      </c>
      <c r="K1048542" s="247" t="e">
        <f>#REF!+#REF!</f>
        <v>#REF!</v>
      </c>
    </row>
  </sheetData>
  <sheetProtection sheet="1" objects="1" scenarios="1"/>
  <conditionalFormatting sqref="L16 L17:N19 L22:N42 L57:N79">
    <cfRule type="cellIs" dxfId="9" priority="10" operator="lessThan">
      <formula>1</formula>
    </cfRule>
  </conditionalFormatting>
  <conditionalFormatting sqref="M16:N16">
    <cfRule type="cellIs" dxfId="8" priority="9" operator="lessThan">
      <formula>1</formula>
    </cfRule>
  </conditionalFormatting>
  <conditionalFormatting sqref="N18">
    <cfRule type="cellIs" dxfId="7" priority="8" operator="lessThan">
      <formula>1</formula>
    </cfRule>
  </conditionalFormatting>
  <conditionalFormatting sqref="L56">
    <cfRule type="cellIs" dxfId="6" priority="7" operator="lessThan">
      <formula>1</formula>
    </cfRule>
  </conditionalFormatting>
  <conditionalFormatting sqref="M56:N56">
    <cfRule type="cellIs" dxfId="5" priority="6" operator="lessThan">
      <formula>1</formula>
    </cfRule>
  </conditionalFormatting>
  <conditionalFormatting sqref="N58">
    <cfRule type="cellIs" dxfId="4" priority="5" operator="lessThan">
      <formula>1</formula>
    </cfRule>
  </conditionalFormatting>
  <conditionalFormatting sqref="L55">
    <cfRule type="cellIs" dxfId="3" priority="4" operator="lessThan">
      <formula>1</formula>
    </cfRule>
  </conditionalFormatting>
  <conditionalFormatting sqref="L15">
    <cfRule type="cellIs" dxfId="2" priority="3" operator="lessThan">
      <formula>1</formula>
    </cfRule>
  </conditionalFormatting>
  <conditionalFormatting sqref="L20:N20">
    <cfRule type="cellIs" dxfId="1" priority="2" operator="lessThan">
      <formula>1</formula>
    </cfRule>
  </conditionalFormatting>
  <conditionalFormatting sqref="L21:N21">
    <cfRule type="cellIs" dxfId="0" priority="1" operator="lessThan">
      <formula>1</formula>
    </cfRule>
  </conditionalFormatting>
  <pageMargins left="0.7" right="0.7" top="0.75" bottom="0.75" header="0.3" footer="0.3"/>
  <pageSetup scale="10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"/>
  <sheetViews>
    <sheetView workbookViewId="0">
      <selection activeCell="D3" sqref="D3"/>
    </sheetView>
  </sheetViews>
  <sheetFormatPr defaultRowHeight="15" x14ac:dyDescent="0.25"/>
  <cols>
    <col min="1" max="1" width="16.28515625" customWidth="1"/>
    <col min="2" max="10" width="9.7109375" customWidth="1"/>
    <col min="11" max="11" width="10.7109375" customWidth="1"/>
  </cols>
  <sheetData>
    <row r="1" spans="1:11" x14ac:dyDescent="0.25">
      <c r="A1" t="s">
        <v>717</v>
      </c>
      <c r="B1" t="s">
        <v>718</v>
      </c>
      <c r="C1" t="s">
        <v>719</v>
      </c>
      <c r="D1" t="s">
        <v>720</v>
      </c>
      <c r="E1" t="s">
        <v>721</v>
      </c>
      <c r="F1" t="s">
        <v>722</v>
      </c>
      <c r="G1" t="s">
        <v>723</v>
      </c>
      <c r="H1" t="s">
        <v>724</v>
      </c>
      <c r="I1" t="s">
        <v>725</v>
      </c>
      <c r="J1" t="s">
        <v>726</v>
      </c>
      <c r="K1" t="s">
        <v>727</v>
      </c>
    </row>
    <row r="2" spans="1:11" x14ac:dyDescent="0.25">
      <c r="A2" t="s">
        <v>379</v>
      </c>
      <c r="B2" s="287">
        <v>0.05</v>
      </c>
      <c r="C2" s="287">
        <v>0.1</v>
      </c>
      <c r="D2" s="287">
        <v>0.15</v>
      </c>
      <c r="E2" s="287">
        <v>0.2</v>
      </c>
      <c r="F2" s="287">
        <v>0.25</v>
      </c>
      <c r="G2" s="287">
        <v>0.3</v>
      </c>
      <c r="H2" s="287">
        <v>0.35</v>
      </c>
      <c r="I2" s="287">
        <v>0.375</v>
      </c>
      <c r="J2" s="287">
        <v>0.4</v>
      </c>
      <c r="K2" s="287">
        <v>0.42499999999999999</v>
      </c>
    </row>
    <row r="3" spans="1:11" x14ac:dyDescent="0.25">
      <c r="A3" t="s">
        <v>387</v>
      </c>
      <c r="B3" s="287">
        <v>2.5000000000000001E-2</v>
      </c>
      <c r="C3" s="287">
        <v>0.05</v>
      </c>
      <c r="D3" s="287">
        <v>7.4999999999999997E-2</v>
      </c>
      <c r="E3" s="287">
        <v>0.1</v>
      </c>
      <c r="F3" s="287">
        <v>0.125</v>
      </c>
      <c r="G3" s="287">
        <v>0.15</v>
      </c>
      <c r="H3" s="287">
        <v>0.17499999999999999</v>
      </c>
      <c r="I3" s="287">
        <v>0.2</v>
      </c>
      <c r="J3" s="288"/>
      <c r="K3" s="288"/>
    </row>
    <row r="4" spans="1:11" x14ac:dyDescent="0.25">
      <c r="A4" t="s">
        <v>425</v>
      </c>
      <c r="B4" s="287">
        <v>7.4999999999999997E-2</v>
      </c>
      <c r="C4" s="287">
        <v>0.125</v>
      </c>
      <c r="D4" s="287">
        <v>0.17499999999999999</v>
      </c>
      <c r="E4" s="287">
        <v>0.2</v>
      </c>
      <c r="F4" s="287">
        <v>0.25</v>
      </c>
      <c r="G4" s="287">
        <v>0.3</v>
      </c>
      <c r="H4" s="287">
        <v>0.35</v>
      </c>
      <c r="I4" s="287">
        <v>0.4</v>
      </c>
      <c r="J4" s="287">
        <v>0.42499999999999999</v>
      </c>
      <c r="K4" s="287">
        <v>0.45</v>
      </c>
    </row>
    <row r="5" spans="1:11" x14ac:dyDescent="0.25">
      <c r="A5" t="s">
        <v>434</v>
      </c>
      <c r="B5" s="287">
        <v>0.25</v>
      </c>
      <c r="C5" s="287">
        <v>0.27500000000000002</v>
      </c>
      <c r="D5" s="287">
        <v>0.3</v>
      </c>
      <c r="E5" s="287">
        <v>0.35</v>
      </c>
      <c r="F5" s="287">
        <v>0.4</v>
      </c>
      <c r="G5" s="287">
        <v>0.45</v>
      </c>
      <c r="H5" s="287">
        <v>0.5</v>
      </c>
      <c r="I5" s="287">
        <v>0.55000000000000004</v>
      </c>
      <c r="J5" s="287">
        <v>0.57499999999999996</v>
      </c>
      <c r="K5" s="287">
        <v>0.6</v>
      </c>
    </row>
    <row r="6" spans="1:11" x14ac:dyDescent="0.25">
      <c r="A6" t="s">
        <v>482</v>
      </c>
      <c r="B6" s="287">
        <v>7.4999999999999997E-2</v>
      </c>
      <c r="C6" s="287">
        <v>0.125</v>
      </c>
      <c r="D6" s="287">
        <v>0.17499999999999999</v>
      </c>
      <c r="E6" s="287">
        <v>0.2</v>
      </c>
      <c r="F6" s="287">
        <v>0.22500000000000001</v>
      </c>
      <c r="G6" s="287">
        <v>0.25</v>
      </c>
      <c r="H6" s="287">
        <v>0.27500000000000002</v>
      </c>
      <c r="I6" s="287">
        <v>0.3</v>
      </c>
      <c r="J6" s="287">
        <v>0.32500000000000001</v>
      </c>
      <c r="K6" s="287">
        <v>0.35</v>
      </c>
    </row>
    <row r="7" spans="1:11" x14ac:dyDescent="0.25">
      <c r="A7" t="s">
        <v>493</v>
      </c>
      <c r="B7" s="287">
        <v>0.15</v>
      </c>
      <c r="C7" s="287">
        <v>0.25</v>
      </c>
      <c r="D7" s="287">
        <v>0.35</v>
      </c>
      <c r="E7" s="287">
        <v>0.4</v>
      </c>
      <c r="F7" s="287">
        <v>0.45</v>
      </c>
      <c r="G7" s="287">
        <v>0.5</v>
      </c>
      <c r="H7" s="287">
        <v>0.52</v>
      </c>
      <c r="I7" s="287">
        <v>0.53</v>
      </c>
      <c r="J7" s="287">
        <v>0.54</v>
      </c>
      <c r="K7" s="287">
        <v>0.55000000000000004</v>
      </c>
    </row>
    <row r="8" spans="1:11" x14ac:dyDescent="0.25">
      <c r="A8" t="s">
        <v>520</v>
      </c>
      <c r="B8" s="287">
        <v>7.4999999999999997E-2</v>
      </c>
      <c r="C8" s="287">
        <v>0.125</v>
      </c>
      <c r="D8" s="287">
        <v>0.17499999999999999</v>
      </c>
      <c r="E8" s="287">
        <v>0.2</v>
      </c>
      <c r="F8" s="287">
        <v>0.22500000000000001</v>
      </c>
      <c r="G8" s="287">
        <v>0.25</v>
      </c>
      <c r="H8" s="287">
        <v>0.27500000000000002</v>
      </c>
      <c r="I8" s="287">
        <v>0.3</v>
      </c>
      <c r="J8" s="287">
        <v>0.32500000000000001</v>
      </c>
      <c r="K8" s="287">
        <v>0.35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77"/>
  <sheetViews>
    <sheetView view="pageBreakPreview" zoomScale="85" zoomScaleNormal="100" zoomScaleSheetLayoutView="85" workbookViewId="0">
      <selection activeCell="J2" sqref="J2:K15"/>
    </sheetView>
  </sheetViews>
  <sheetFormatPr defaultRowHeight="15" x14ac:dyDescent="0.25"/>
  <cols>
    <col min="1" max="1" width="19.140625" style="16" customWidth="1"/>
    <col min="2" max="2" width="15.42578125" style="16" customWidth="1"/>
    <col min="3" max="3" width="9.140625" style="16"/>
    <col min="4" max="4" width="10.28515625" style="16" customWidth="1"/>
    <col min="5" max="5" width="9.5703125" style="16" customWidth="1"/>
    <col min="6" max="6" width="15.85546875" style="16" customWidth="1"/>
    <col min="7" max="7" width="9.140625" style="16"/>
    <col min="8" max="8" width="31.140625" style="16" customWidth="1"/>
    <col min="9" max="9" width="11" style="16" customWidth="1"/>
    <col min="10" max="10" width="13" style="16" customWidth="1"/>
    <col min="11" max="11" width="14.85546875" style="16" customWidth="1"/>
    <col min="12" max="12" width="9.140625" style="16"/>
    <col min="13" max="13" width="19.5703125" style="16" customWidth="1"/>
    <col min="14" max="14" width="9.140625" style="16"/>
    <col min="15" max="15" width="20.140625" style="16" customWidth="1"/>
    <col min="16" max="16" width="9.140625" style="16"/>
    <col min="17" max="17" width="11.5703125" style="16" customWidth="1"/>
    <col min="18" max="18" width="12.7109375" style="16" customWidth="1"/>
    <col min="19" max="19" width="20.140625" style="16" customWidth="1"/>
    <col min="20" max="20" width="9.140625" style="16"/>
    <col min="21" max="21" width="11.140625" style="16" customWidth="1"/>
    <col min="22" max="22" width="8" style="16" customWidth="1"/>
    <col min="23" max="23" width="7.28515625" style="16" customWidth="1"/>
    <col min="24" max="24" width="9.140625" style="16"/>
    <col min="25" max="25" width="20.140625" style="16" customWidth="1"/>
    <col min="26" max="26" width="11.140625" style="16" customWidth="1"/>
    <col min="27" max="27" width="10.28515625" style="16" customWidth="1"/>
    <col min="28" max="28" width="9.140625" style="16"/>
    <col min="29" max="29" width="19.85546875" style="16" customWidth="1"/>
    <col min="30" max="30" width="28.28515625" style="16" customWidth="1"/>
    <col min="31" max="31" width="9.140625" style="16"/>
    <col min="32" max="32" width="32" style="16" customWidth="1"/>
    <col min="33" max="33" width="15.42578125" style="16" customWidth="1"/>
    <col min="34" max="34" width="12.42578125" style="16" customWidth="1"/>
    <col min="35" max="35" width="16" style="16" customWidth="1"/>
    <col min="36" max="36" width="11.28515625" style="16" customWidth="1"/>
    <col min="37" max="37" width="16" style="16" customWidth="1"/>
    <col min="38" max="38" width="14.85546875" style="16" customWidth="1"/>
    <col min="39" max="39" width="11.85546875" style="16" customWidth="1"/>
    <col min="40" max="40" width="14.85546875" style="16" customWidth="1"/>
    <col min="41" max="42" width="11.42578125" style="16" customWidth="1"/>
    <col min="43" max="43" width="9.140625" style="16"/>
    <col min="44" max="44" width="28.85546875" style="16" customWidth="1"/>
    <col min="45" max="45" width="31" style="16" customWidth="1"/>
    <col min="46" max="46" width="28.85546875" style="16" customWidth="1"/>
    <col min="47" max="47" width="14.85546875" style="16" customWidth="1"/>
    <col min="48" max="48" width="13.28515625" style="16" customWidth="1"/>
    <col min="49" max="49" width="14.85546875" style="16" customWidth="1"/>
    <col min="50" max="50" width="28.85546875" style="16" customWidth="1"/>
    <col min="51" max="51" width="31" style="16" customWidth="1"/>
    <col min="52" max="54" width="13.140625" style="16" customWidth="1"/>
    <col min="55" max="55" width="9.140625" style="16"/>
    <col min="56" max="56" width="28.85546875" style="16" customWidth="1"/>
    <col min="57" max="57" width="31" style="16" customWidth="1"/>
    <col min="58" max="60" width="13.140625" style="16" customWidth="1"/>
    <col min="61" max="61" width="9.140625" style="16"/>
    <col min="62" max="62" width="31" style="16" customWidth="1"/>
    <col min="63" max="66" width="22.28515625" style="16" customWidth="1"/>
    <col min="67" max="67" width="9.140625" style="16"/>
    <col min="68" max="68" width="28.140625" style="16" customWidth="1"/>
    <col min="69" max="72" width="13.140625" style="16" customWidth="1"/>
    <col min="73" max="16384" width="9.140625" style="16"/>
  </cols>
  <sheetData>
    <row r="1" spans="1:72" s="11" customFormat="1" x14ac:dyDescent="0.25">
      <c r="A1" s="9" t="s">
        <v>0</v>
      </c>
      <c r="B1" s="10" t="s">
        <v>30</v>
      </c>
      <c r="D1" s="10" t="s">
        <v>4</v>
      </c>
      <c r="E1" s="9" t="s">
        <v>5</v>
      </c>
      <c r="F1" s="10" t="s">
        <v>29</v>
      </c>
      <c r="H1" s="9" t="s">
        <v>23</v>
      </c>
      <c r="I1" s="9" t="s">
        <v>7</v>
      </c>
      <c r="J1" s="9" t="s">
        <v>8</v>
      </c>
      <c r="K1" s="9" t="s">
        <v>42</v>
      </c>
      <c r="M1" s="10" t="s">
        <v>24</v>
      </c>
      <c r="O1" s="6" t="s">
        <v>34</v>
      </c>
      <c r="Q1" s="12" t="s">
        <v>35</v>
      </c>
      <c r="R1" s="12" t="s">
        <v>36</v>
      </c>
      <c r="S1" s="12" t="s">
        <v>37</v>
      </c>
      <c r="U1" s="13" t="s">
        <v>32</v>
      </c>
      <c r="V1" s="13" t="s">
        <v>4</v>
      </c>
      <c r="W1" s="13" t="s">
        <v>5</v>
      </c>
      <c r="Y1" s="8" t="s">
        <v>43</v>
      </c>
      <c r="Z1" s="8" t="s">
        <v>32</v>
      </c>
      <c r="AA1" s="8" t="s">
        <v>47</v>
      </c>
      <c r="AC1" s="31" t="s">
        <v>33</v>
      </c>
      <c r="AD1" s="9" t="s">
        <v>55</v>
      </c>
      <c r="AF1" s="5" t="s">
        <v>164</v>
      </c>
      <c r="AG1" s="35" t="s">
        <v>84</v>
      </c>
      <c r="AH1" s="33" t="s">
        <v>85</v>
      </c>
      <c r="AI1" s="33" t="s">
        <v>86</v>
      </c>
      <c r="AJ1" s="33" t="s">
        <v>169</v>
      </c>
      <c r="AK1" s="33" t="s">
        <v>88</v>
      </c>
      <c r="AL1" s="35" t="s">
        <v>89</v>
      </c>
      <c r="AM1" s="35" t="s">
        <v>167</v>
      </c>
      <c r="AN1" s="35" t="s">
        <v>91</v>
      </c>
      <c r="AO1" s="35" t="s">
        <v>172</v>
      </c>
      <c r="AP1" s="35" t="s">
        <v>173</v>
      </c>
      <c r="AR1" s="11" t="s">
        <v>56</v>
      </c>
      <c r="AS1" s="11" t="s">
        <v>57</v>
      </c>
      <c r="AT1" s="11" t="s">
        <v>58</v>
      </c>
      <c r="AU1" s="11" t="s">
        <v>59</v>
      </c>
      <c r="AV1" s="11" t="s">
        <v>60</v>
      </c>
      <c r="AX1" s="11" t="s">
        <v>56</v>
      </c>
      <c r="AY1" s="11" t="s">
        <v>57</v>
      </c>
      <c r="AZ1" s="11" t="s">
        <v>58</v>
      </c>
      <c r="BA1" s="11" t="s">
        <v>59</v>
      </c>
      <c r="BB1" s="11" t="s">
        <v>60</v>
      </c>
      <c r="BD1" s="11" t="s">
        <v>56</v>
      </c>
      <c r="BE1" s="11" t="s">
        <v>57</v>
      </c>
      <c r="BF1" s="11" t="s">
        <v>58</v>
      </c>
      <c r="BG1" s="11" t="s">
        <v>59</v>
      </c>
      <c r="BH1" s="11" t="s">
        <v>60</v>
      </c>
      <c r="BJ1" s="11" t="s">
        <v>56</v>
      </c>
      <c r="BK1" s="11" t="s">
        <v>57</v>
      </c>
      <c r="BL1" s="11" t="s">
        <v>58</v>
      </c>
      <c r="BM1" s="11" t="s">
        <v>59</v>
      </c>
      <c r="BN1" s="11" t="s">
        <v>60</v>
      </c>
      <c r="BP1" s="11" t="s">
        <v>56</v>
      </c>
      <c r="BQ1" s="11" t="s">
        <v>57</v>
      </c>
      <c r="BR1" s="11" t="s">
        <v>58</v>
      </c>
      <c r="BS1" s="11" t="s">
        <v>59</v>
      </c>
      <c r="BT1" s="11" t="s">
        <v>60</v>
      </c>
    </row>
    <row r="2" spans="1:72" x14ac:dyDescent="0.25">
      <c r="A2" s="14" t="s">
        <v>1</v>
      </c>
      <c r="B2" s="15">
        <v>0</v>
      </c>
      <c r="D2" s="10">
        <v>0</v>
      </c>
      <c r="E2" s="9">
        <v>0</v>
      </c>
      <c r="F2" s="17">
        <v>0</v>
      </c>
      <c r="H2" s="43" t="s">
        <v>20</v>
      </c>
      <c r="I2" s="46">
        <v>0.81200000000000006</v>
      </c>
      <c r="J2" s="4">
        <v>10000</v>
      </c>
      <c r="K2" s="4">
        <v>10000</v>
      </c>
      <c r="M2" s="13" t="s">
        <v>25</v>
      </c>
      <c r="O2" s="16">
        <v>1.35</v>
      </c>
      <c r="Q2" s="7">
        <v>6.75</v>
      </c>
      <c r="R2" s="7">
        <v>2</v>
      </c>
      <c r="S2" s="7">
        <f>R2*Q2</f>
        <v>13.5</v>
      </c>
      <c r="U2" s="18" t="s">
        <v>38</v>
      </c>
      <c r="V2" s="19">
        <v>3.8999999999999998E-3</v>
      </c>
      <c r="W2" s="19">
        <v>3.8999999999999998E-3</v>
      </c>
      <c r="Y2" s="8" t="s">
        <v>44</v>
      </c>
      <c r="Z2" s="8">
        <f>22*2080*0.67</f>
        <v>30659.200000000001</v>
      </c>
      <c r="AA2" s="8">
        <f>Z2/$AA$1</f>
        <v>1.5329600000000001E-2</v>
      </c>
      <c r="AC2" s="27" t="s">
        <v>48</v>
      </c>
      <c r="AD2" s="30" t="s">
        <v>49</v>
      </c>
      <c r="AF2" s="1" t="s">
        <v>94</v>
      </c>
      <c r="AG2" s="36">
        <v>0</v>
      </c>
      <c r="AH2" s="35">
        <v>3</v>
      </c>
      <c r="AI2" s="36">
        <v>0</v>
      </c>
      <c r="AJ2" s="35">
        <v>3</v>
      </c>
      <c r="AK2" s="36">
        <v>0</v>
      </c>
      <c r="AL2" s="36">
        <v>0</v>
      </c>
      <c r="AM2" s="10">
        <v>9</v>
      </c>
      <c r="AN2" s="36">
        <v>0</v>
      </c>
      <c r="AO2" s="35">
        <v>10</v>
      </c>
      <c r="AP2" s="35">
        <v>10</v>
      </c>
      <c r="AR2" s="54" t="s">
        <v>13</v>
      </c>
      <c r="AS2" s="54" t="s">
        <v>15</v>
      </c>
      <c r="AT2" s="54" t="s">
        <v>14</v>
      </c>
      <c r="AU2" s="54"/>
      <c r="AV2" s="54"/>
      <c r="AX2" s="54" t="s">
        <v>13</v>
      </c>
      <c r="AY2" s="54" t="s">
        <v>15</v>
      </c>
      <c r="AZ2" s="54"/>
      <c r="BA2" s="54"/>
      <c r="BB2" s="54"/>
      <c r="BD2" s="54" t="s">
        <v>13</v>
      </c>
      <c r="BE2" s="54" t="s">
        <v>15</v>
      </c>
      <c r="BF2" s="54"/>
      <c r="BG2" s="54"/>
      <c r="BH2" s="54"/>
      <c r="BJ2" s="54" t="s">
        <v>10</v>
      </c>
      <c r="BK2" s="54" t="s">
        <v>11</v>
      </c>
      <c r="BL2" s="54" t="s">
        <v>11</v>
      </c>
      <c r="BM2" s="54" t="s">
        <v>11</v>
      </c>
      <c r="BN2" s="54" t="s">
        <v>12</v>
      </c>
      <c r="BP2" s="54" t="s">
        <v>18</v>
      </c>
      <c r="BQ2" s="54"/>
      <c r="BR2" s="54"/>
      <c r="BS2" s="54"/>
      <c r="BT2" s="54"/>
    </row>
    <row r="3" spans="1:72" x14ac:dyDescent="0.25">
      <c r="A3" s="14" t="s">
        <v>2</v>
      </c>
      <c r="B3" s="2">
        <v>7.0000000000000007E-2</v>
      </c>
      <c r="D3" s="9" t="s">
        <v>6</v>
      </c>
      <c r="E3" s="9" t="s">
        <v>6</v>
      </c>
      <c r="F3" s="44">
        <v>7.0000000000000001E-3</v>
      </c>
      <c r="H3" s="43" t="s">
        <v>18</v>
      </c>
      <c r="I3" s="46">
        <v>0.91400000000000003</v>
      </c>
      <c r="J3" s="4">
        <v>25000</v>
      </c>
      <c r="K3" s="4">
        <v>10000</v>
      </c>
      <c r="M3" s="20" t="s">
        <v>26</v>
      </c>
      <c r="Q3" s="21">
        <v>10</v>
      </c>
      <c r="R3" s="21">
        <v>1</v>
      </c>
      <c r="S3" s="21">
        <f>R3*Q3</f>
        <v>10</v>
      </c>
      <c r="U3" s="18" t="s">
        <v>39</v>
      </c>
      <c r="V3" s="19">
        <v>7.0000000000000001E-3</v>
      </c>
      <c r="W3" s="19">
        <v>7.0000000000000001E-3</v>
      </c>
      <c r="Y3" s="8" t="s">
        <v>45</v>
      </c>
      <c r="Z3" s="8">
        <f>12*(495+1085+1280)</f>
        <v>34320</v>
      </c>
      <c r="AA3" s="8">
        <f>Z3/$AA$1</f>
        <v>1.7160000000000002E-2</v>
      </c>
      <c r="AC3" s="27" t="s">
        <v>50</v>
      </c>
      <c r="AD3" s="30" t="s">
        <v>51</v>
      </c>
      <c r="AF3" s="1" t="s">
        <v>95</v>
      </c>
      <c r="AG3" s="36">
        <v>0</v>
      </c>
      <c r="AH3" s="35">
        <v>2</v>
      </c>
      <c r="AI3" s="36">
        <v>0</v>
      </c>
      <c r="AJ3" s="35">
        <v>3</v>
      </c>
      <c r="AK3" s="36">
        <v>0</v>
      </c>
      <c r="AL3" s="36">
        <v>0</v>
      </c>
      <c r="AM3" s="35">
        <v>4</v>
      </c>
      <c r="AN3" s="36">
        <v>0</v>
      </c>
      <c r="AO3" s="35">
        <v>9</v>
      </c>
      <c r="AP3" s="35">
        <v>10</v>
      </c>
      <c r="AR3" s="54" t="s">
        <v>27</v>
      </c>
      <c r="AS3" s="54" t="s">
        <v>27</v>
      </c>
      <c r="AT3" s="54" t="s">
        <v>27</v>
      </c>
      <c r="AU3" s="54"/>
      <c r="AV3" s="54"/>
      <c r="AX3" s="54" t="s">
        <v>27</v>
      </c>
      <c r="AY3" s="54" t="s">
        <v>27</v>
      </c>
      <c r="AZ3" s="54"/>
      <c r="BA3" s="54"/>
      <c r="BB3" s="54"/>
      <c r="BD3" s="54" t="s">
        <v>27</v>
      </c>
      <c r="BE3" s="54" t="s">
        <v>27</v>
      </c>
      <c r="BF3" s="54"/>
      <c r="BG3" s="54"/>
      <c r="BH3" s="54"/>
      <c r="BJ3" s="54" t="s">
        <v>27</v>
      </c>
      <c r="BK3" s="54" t="s">
        <v>27</v>
      </c>
      <c r="BL3" s="54" t="s">
        <v>27</v>
      </c>
      <c r="BM3" s="54" t="s">
        <v>27</v>
      </c>
      <c r="BN3" s="54" t="s">
        <v>27</v>
      </c>
      <c r="BP3" s="54" t="s">
        <v>27</v>
      </c>
      <c r="BQ3" s="54"/>
      <c r="BR3" s="54"/>
      <c r="BS3" s="54"/>
      <c r="BT3" s="54"/>
    </row>
    <row r="4" spans="1:72" x14ac:dyDescent="0.25">
      <c r="A4" s="22" t="s">
        <v>3</v>
      </c>
      <c r="B4" s="2">
        <v>0.09</v>
      </c>
      <c r="D4" s="9">
        <v>1</v>
      </c>
      <c r="E4" s="9">
        <v>1</v>
      </c>
      <c r="F4" s="17">
        <v>0.04</v>
      </c>
      <c r="H4" s="43" t="s">
        <v>17</v>
      </c>
      <c r="I4" s="46">
        <v>0.91400000000000003</v>
      </c>
      <c r="J4" s="4">
        <v>25000</v>
      </c>
      <c r="K4" s="4">
        <v>10000</v>
      </c>
      <c r="M4" s="20" t="s">
        <v>27</v>
      </c>
      <c r="Q4" s="23" t="s">
        <v>31</v>
      </c>
      <c r="R4" s="23">
        <f>R3*R2</f>
        <v>2</v>
      </c>
      <c r="S4" s="24"/>
      <c r="U4" s="25" t="s">
        <v>40</v>
      </c>
      <c r="V4" s="19">
        <v>3.7499999999999999E-2</v>
      </c>
      <c r="W4" s="19">
        <v>3.7499999999999999E-2</v>
      </c>
      <c r="Y4" s="8" t="s">
        <v>46</v>
      </c>
      <c r="Z4" s="8">
        <f>SUM(Z2:Z3)</f>
        <v>64979.199999999997</v>
      </c>
      <c r="AA4" s="8">
        <f>Z4/$AA$1</f>
        <v>3.24896E-2</v>
      </c>
      <c r="AC4" s="27" t="s">
        <v>52</v>
      </c>
      <c r="AD4" s="30">
        <v>12500</v>
      </c>
      <c r="AF4" s="1" t="s">
        <v>96</v>
      </c>
      <c r="AG4" s="36">
        <v>0</v>
      </c>
      <c r="AH4" s="35">
        <v>3</v>
      </c>
      <c r="AI4" s="36">
        <v>0</v>
      </c>
      <c r="AJ4" s="35">
        <v>3</v>
      </c>
      <c r="AK4" s="36">
        <v>0</v>
      </c>
      <c r="AL4" s="36">
        <v>0</v>
      </c>
      <c r="AM4" s="35">
        <v>6</v>
      </c>
      <c r="AN4" s="36">
        <v>0</v>
      </c>
      <c r="AO4" s="35">
        <v>10</v>
      </c>
      <c r="AP4" s="35">
        <v>10</v>
      </c>
      <c r="AR4" s="54" t="s">
        <v>85</v>
      </c>
      <c r="AS4" s="54" t="s">
        <v>102</v>
      </c>
      <c r="AT4" s="54" t="s">
        <v>142</v>
      </c>
      <c r="AU4" s="54"/>
      <c r="AV4" s="54"/>
      <c r="AX4" s="54" t="s">
        <v>85</v>
      </c>
      <c r="AY4" s="54" t="s">
        <v>120</v>
      </c>
      <c r="AZ4" s="54"/>
      <c r="BA4" s="54"/>
      <c r="BB4" s="54"/>
      <c r="BD4" s="54" t="s">
        <v>140</v>
      </c>
      <c r="BE4" s="54" t="s">
        <v>111</v>
      </c>
      <c r="BF4" s="54"/>
      <c r="BG4" s="54"/>
      <c r="BH4" s="54"/>
      <c r="BJ4" s="54" t="s">
        <v>62</v>
      </c>
      <c r="BK4" s="54" t="s">
        <v>63</v>
      </c>
      <c r="BL4" s="54" t="s">
        <v>64</v>
      </c>
      <c r="BM4" s="54" t="s">
        <v>137</v>
      </c>
      <c r="BN4" s="54" t="s">
        <v>65</v>
      </c>
      <c r="BP4" s="54" t="s">
        <v>155</v>
      </c>
      <c r="BQ4" s="54"/>
      <c r="BR4" s="54"/>
      <c r="BS4" s="54"/>
      <c r="BT4" s="54"/>
    </row>
    <row r="5" spans="1:72" x14ac:dyDescent="0.25">
      <c r="D5" s="9">
        <v>2</v>
      </c>
      <c r="E5" s="9">
        <v>2</v>
      </c>
      <c r="F5" s="17">
        <v>0.04</v>
      </c>
      <c r="H5" s="43" t="s">
        <v>12</v>
      </c>
      <c r="I5" s="46">
        <v>0.76100000000000001</v>
      </c>
      <c r="J5" s="4">
        <v>7500</v>
      </c>
      <c r="K5" s="4">
        <v>5000</v>
      </c>
      <c r="M5" s="20" t="s">
        <v>28</v>
      </c>
      <c r="U5" s="18" t="s">
        <v>41</v>
      </c>
      <c r="V5" s="19">
        <v>0.04</v>
      </c>
      <c r="W5" s="19">
        <v>0.04</v>
      </c>
      <c r="AC5" s="3" t="s">
        <v>53</v>
      </c>
      <c r="AD5" s="30"/>
      <c r="AF5" s="1" t="s">
        <v>97</v>
      </c>
      <c r="AG5" s="36">
        <v>0</v>
      </c>
      <c r="AH5" s="35">
        <v>2</v>
      </c>
      <c r="AI5" s="36">
        <v>0</v>
      </c>
      <c r="AJ5" s="35">
        <v>3</v>
      </c>
      <c r="AK5" s="36">
        <v>0</v>
      </c>
      <c r="AL5" s="36">
        <v>0</v>
      </c>
      <c r="AM5" s="35">
        <v>6</v>
      </c>
      <c r="AN5" s="36">
        <v>0</v>
      </c>
      <c r="AO5" s="35">
        <v>6</v>
      </c>
      <c r="AP5" s="35">
        <v>10</v>
      </c>
      <c r="AR5" s="54" t="s">
        <v>170</v>
      </c>
      <c r="AS5" s="54" t="s">
        <v>66</v>
      </c>
      <c r="AT5" s="54" t="s">
        <v>170</v>
      </c>
      <c r="AU5" s="54"/>
      <c r="AV5" s="54"/>
      <c r="AX5" s="54" t="s">
        <v>170</v>
      </c>
      <c r="AY5" s="54" t="s">
        <v>66</v>
      </c>
      <c r="AZ5" s="54"/>
      <c r="BA5" s="54"/>
      <c r="BB5" s="54"/>
      <c r="BD5" s="54" t="s">
        <v>170</v>
      </c>
      <c r="BE5" s="54" t="s">
        <v>66</v>
      </c>
      <c r="BF5" s="54"/>
      <c r="BG5" s="54"/>
      <c r="BH5" s="54"/>
      <c r="BJ5" s="54" t="s">
        <v>66</v>
      </c>
      <c r="BK5" s="54" t="s">
        <v>67</v>
      </c>
      <c r="BL5" s="54" t="s">
        <v>67</v>
      </c>
      <c r="BM5" s="54" t="s">
        <v>67</v>
      </c>
      <c r="BN5" s="54" t="s">
        <v>67</v>
      </c>
      <c r="BP5" s="54" t="s">
        <v>171</v>
      </c>
      <c r="BQ5" s="54"/>
      <c r="BR5" s="54"/>
      <c r="BS5" s="54"/>
      <c r="BT5" s="54"/>
    </row>
    <row r="6" spans="1:72" x14ac:dyDescent="0.25">
      <c r="D6" s="9">
        <v>3</v>
      </c>
      <c r="E6" s="9">
        <v>3</v>
      </c>
      <c r="F6" s="26">
        <v>0.04</v>
      </c>
      <c r="H6" s="43" t="s">
        <v>9</v>
      </c>
      <c r="I6" s="46">
        <v>1.0149999999999999</v>
      </c>
      <c r="J6" s="4">
        <v>25000</v>
      </c>
      <c r="K6" s="4">
        <v>25000</v>
      </c>
      <c r="AC6" s="28" t="s">
        <v>54</v>
      </c>
      <c r="AD6" s="29"/>
      <c r="AF6" s="1" t="s">
        <v>98</v>
      </c>
      <c r="AG6" s="36">
        <v>0</v>
      </c>
      <c r="AH6" s="35">
        <v>3</v>
      </c>
      <c r="AI6" s="36">
        <v>0</v>
      </c>
      <c r="AJ6" s="35">
        <v>3</v>
      </c>
      <c r="AK6" s="36">
        <v>0</v>
      </c>
      <c r="AL6" s="36">
        <v>0</v>
      </c>
      <c r="AM6" s="35">
        <v>6</v>
      </c>
      <c r="AN6" s="36">
        <v>0</v>
      </c>
      <c r="AO6" s="35">
        <v>6</v>
      </c>
      <c r="AP6" s="35">
        <v>6</v>
      </c>
      <c r="AR6" s="54"/>
      <c r="AS6" s="54"/>
      <c r="AT6" s="54"/>
      <c r="AU6" s="54"/>
      <c r="AV6" s="54"/>
      <c r="AX6" s="54"/>
      <c r="AY6" s="54"/>
      <c r="AZ6" s="54"/>
      <c r="BA6" s="54"/>
      <c r="BB6" s="54"/>
      <c r="BD6" s="54"/>
      <c r="BE6" s="54"/>
      <c r="BF6" s="54"/>
      <c r="BG6" s="54"/>
      <c r="BH6" s="54"/>
      <c r="BJ6" s="54"/>
      <c r="BK6" s="54"/>
      <c r="BL6" s="54"/>
      <c r="BM6" s="54"/>
      <c r="BN6" s="54"/>
      <c r="BP6" s="54"/>
      <c r="BQ6" s="54"/>
      <c r="BR6" s="54"/>
      <c r="BS6" s="54"/>
      <c r="BT6" s="54"/>
    </row>
    <row r="7" spans="1:72" x14ac:dyDescent="0.25">
      <c r="D7" s="9">
        <v>4</v>
      </c>
      <c r="E7" s="9">
        <v>4</v>
      </c>
      <c r="F7" s="17">
        <v>0.04</v>
      </c>
      <c r="H7" s="43" t="s">
        <v>16</v>
      </c>
      <c r="I7" s="46">
        <v>1.0149999999999999</v>
      </c>
      <c r="J7" s="4">
        <v>25000</v>
      </c>
      <c r="K7" s="4">
        <v>15000</v>
      </c>
      <c r="AF7" s="1" t="s">
        <v>99</v>
      </c>
      <c r="AG7" s="36">
        <v>0</v>
      </c>
      <c r="AH7" s="35">
        <v>2</v>
      </c>
      <c r="AI7" s="36">
        <v>0</v>
      </c>
      <c r="AJ7" s="35">
        <v>3</v>
      </c>
      <c r="AK7" s="36">
        <v>0</v>
      </c>
      <c r="AL7" s="36">
        <v>0</v>
      </c>
      <c r="AM7" s="35">
        <v>4</v>
      </c>
      <c r="AN7" s="36">
        <v>0</v>
      </c>
      <c r="AO7" s="35">
        <v>6</v>
      </c>
      <c r="AP7" s="35">
        <v>6</v>
      </c>
      <c r="AR7" s="54"/>
      <c r="AS7" s="54"/>
      <c r="AT7" s="54"/>
      <c r="AU7" s="54"/>
      <c r="AV7" s="54"/>
      <c r="AX7" s="54"/>
      <c r="AY7" s="54"/>
      <c r="AZ7" s="54"/>
      <c r="BA7" s="54"/>
      <c r="BB7" s="54"/>
      <c r="BD7" s="54"/>
      <c r="BE7" s="54"/>
      <c r="BF7" s="54"/>
      <c r="BG7" s="54"/>
      <c r="BH7" s="54"/>
      <c r="BJ7" s="54"/>
      <c r="BK7" s="54"/>
      <c r="BL7" s="54"/>
      <c r="BM7" s="54"/>
      <c r="BN7" s="54"/>
      <c r="BP7" s="54"/>
      <c r="BQ7" s="54"/>
      <c r="BR7" s="54"/>
      <c r="BS7" s="54"/>
      <c r="BT7" s="54"/>
    </row>
    <row r="8" spans="1:72" x14ac:dyDescent="0.25">
      <c r="H8" s="43" t="s">
        <v>13</v>
      </c>
      <c r="I8" s="46">
        <v>1.091</v>
      </c>
      <c r="J8" s="4">
        <v>50000</v>
      </c>
      <c r="K8" s="4">
        <v>15000</v>
      </c>
      <c r="AF8" s="1" t="s">
        <v>100</v>
      </c>
      <c r="AG8" s="36">
        <v>0</v>
      </c>
      <c r="AH8" s="35">
        <v>3</v>
      </c>
      <c r="AI8" s="36">
        <v>0</v>
      </c>
      <c r="AJ8" s="35">
        <v>3</v>
      </c>
      <c r="AK8" s="36">
        <v>0</v>
      </c>
      <c r="AL8" s="36">
        <v>0</v>
      </c>
      <c r="AM8" s="35">
        <v>6</v>
      </c>
      <c r="AN8" s="36">
        <v>0</v>
      </c>
      <c r="AO8" s="35">
        <v>6</v>
      </c>
      <c r="AP8" s="35">
        <v>6</v>
      </c>
      <c r="AR8" s="54"/>
      <c r="AS8" s="54"/>
      <c r="AT8" s="54"/>
      <c r="AU8" s="54"/>
      <c r="AV8" s="54"/>
      <c r="AX8" s="54"/>
      <c r="AY8" s="54"/>
      <c r="AZ8" s="54"/>
      <c r="BA8" s="54"/>
      <c r="BB8" s="54"/>
      <c r="BD8" s="54"/>
      <c r="BE8" s="54"/>
      <c r="BF8" s="54"/>
      <c r="BG8" s="54"/>
      <c r="BH8" s="54"/>
      <c r="BJ8" s="54"/>
      <c r="BK8" s="54"/>
      <c r="BL8" s="54"/>
      <c r="BM8" s="54"/>
      <c r="BN8" s="54"/>
      <c r="BP8" s="54"/>
      <c r="BQ8" s="54"/>
      <c r="BR8" s="54"/>
      <c r="BS8" s="54"/>
      <c r="BT8" s="54"/>
    </row>
    <row r="9" spans="1:72" x14ac:dyDescent="0.25">
      <c r="H9" s="43" t="s">
        <v>21</v>
      </c>
      <c r="I9" s="46">
        <v>0.76100000000000001</v>
      </c>
      <c r="J9" s="4">
        <v>500</v>
      </c>
      <c r="K9" s="4">
        <v>500</v>
      </c>
      <c r="AF9" s="1" t="s">
        <v>101</v>
      </c>
      <c r="AG9" s="36">
        <v>0</v>
      </c>
      <c r="AH9" s="35">
        <v>2</v>
      </c>
      <c r="AI9" s="36">
        <v>0</v>
      </c>
      <c r="AJ9" s="35">
        <v>2</v>
      </c>
      <c r="AK9" s="36">
        <v>0</v>
      </c>
      <c r="AL9" s="36">
        <v>0</v>
      </c>
      <c r="AM9" s="35">
        <v>4</v>
      </c>
      <c r="AN9" s="36">
        <v>0</v>
      </c>
      <c r="AO9" s="35">
        <v>6</v>
      </c>
      <c r="AP9" s="35">
        <v>6</v>
      </c>
      <c r="AR9" s="54"/>
      <c r="AS9" s="54"/>
      <c r="AT9" s="54"/>
      <c r="AU9" s="54"/>
      <c r="AV9" s="54"/>
      <c r="AX9" s="54"/>
      <c r="AY9" s="54"/>
      <c r="AZ9" s="54"/>
      <c r="BA9" s="54"/>
      <c r="BB9" s="54"/>
      <c r="BD9" s="54"/>
      <c r="BE9" s="54"/>
      <c r="BF9" s="54"/>
      <c r="BG9" s="54"/>
      <c r="BH9" s="54"/>
      <c r="BJ9" s="54"/>
      <c r="BK9" s="54"/>
      <c r="BL9" s="54"/>
      <c r="BM9" s="54"/>
      <c r="BN9" s="54"/>
      <c r="BP9" s="54"/>
      <c r="BQ9" s="54"/>
      <c r="BR9" s="54"/>
      <c r="BS9" s="54"/>
      <c r="BT9" s="54"/>
    </row>
    <row r="10" spans="1:72" x14ac:dyDescent="0.25">
      <c r="H10" s="43" t="s">
        <v>19</v>
      </c>
      <c r="I10" s="46">
        <v>0.91400000000000003</v>
      </c>
      <c r="J10" s="4">
        <v>25000</v>
      </c>
      <c r="K10" s="4">
        <v>10000</v>
      </c>
      <c r="AF10" s="1" t="s">
        <v>102</v>
      </c>
      <c r="AG10" s="36">
        <v>0</v>
      </c>
      <c r="AH10" s="35">
        <v>3</v>
      </c>
      <c r="AI10" s="36">
        <v>0</v>
      </c>
      <c r="AJ10" s="35">
        <v>3</v>
      </c>
      <c r="AK10" s="36">
        <v>0</v>
      </c>
      <c r="AL10" s="36">
        <v>0</v>
      </c>
      <c r="AM10" s="34">
        <v>6</v>
      </c>
      <c r="AN10" s="36">
        <v>0</v>
      </c>
      <c r="AO10" s="35">
        <v>6</v>
      </c>
      <c r="AP10" s="35">
        <v>6</v>
      </c>
      <c r="AR10" s="54">
        <v>4</v>
      </c>
      <c r="AS10" s="54">
        <v>2</v>
      </c>
      <c r="AT10" s="54">
        <v>2</v>
      </c>
      <c r="AU10" s="54"/>
      <c r="AV10" s="54"/>
      <c r="AX10" s="54">
        <v>4</v>
      </c>
      <c r="AY10" s="54">
        <v>2</v>
      </c>
      <c r="AZ10" s="54"/>
      <c r="BA10" s="54"/>
      <c r="BB10" s="54"/>
      <c r="BD10" s="54">
        <v>4</v>
      </c>
      <c r="BE10" s="54">
        <v>2</v>
      </c>
      <c r="BF10" s="54"/>
      <c r="BG10" s="54"/>
      <c r="BH10" s="54"/>
      <c r="BJ10" s="54">
        <v>4</v>
      </c>
      <c r="BK10" s="54">
        <v>4</v>
      </c>
      <c r="BL10" s="54">
        <v>4</v>
      </c>
      <c r="BM10" s="54">
        <v>4</v>
      </c>
      <c r="BN10" s="54">
        <v>4</v>
      </c>
      <c r="BP10" s="54">
        <v>4</v>
      </c>
      <c r="BQ10" s="54"/>
      <c r="BR10" s="54"/>
      <c r="BS10" s="54"/>
      <c r="BT10" s="54"/>
    </row>
    <row r="11" spans="1:72" x14ac:dyDescent="0.25">
      <c r="H11" s="43" t="s">
        <v>22</v>
      </c>
      <c r="I11" s="46">
        <v>1.0149999999999999</v>
      </c>
      <c r="J11" s="4">
        <v>10000</v>
      </c>
      <c r="K11" s="4">
        <v>10000</v>
      </c>
      <c r="AF11" s="1" t="s">
        <v>103</v>
      </c>
      <c r="AG11" s="36">
        <v>0</v>
      </c>
      <c r="AH11" s="35">
        <v>2</v>
      </c>
      <c r="AI11" s="36">
        <v>0</v>
      </c>
      <c r="AJ11" s="35">
        <v>2</v>
      </c>
      <c r="AK11" s="36">
        <v>0</v>
      </c>
      <c r="AL11" s="36">
        <v>0</v>
      </c>
      <c r="AM11" s="37">
        <v>4</v>
      </c>
      <c r="AN11" s="36">
        <v>0</v>
      </c>
      <c r="AO11" s="35">
        <v>6</v>
      </c>
      <c r="AP11" s="35">
        <v>6</v>
      </c>
      <c r="AR11" s="54">
        <v>2</v>
      </c>
      <c r="AS11" s="54">
        <v>2</v>
      </c>
      <c r="AT11" s="54">
        <v>2</v>
      </c>
      <c r="AU11" s="54"/>
      <c r="AV11" s="54"/>
      <c r="AX11" s="54">
        <v>2</v>
      </c>
      <c r="AY11" s="54">
        <v>2</v>
      </c>
      <c r="AZ11" s="54"/>
      <c r="BA11" s="54"/>
      <c r="BB11" s="54"/>
      <c r="BD11" s="54">
        <v>2</v>
      </c>
      <c r="BE11" s="54">
        <v>2</v>
      </c>
      <c r="BF11" s="54"/>
      <c r="BG11" s="54"/>
      <c r="BH11" s="54"/>
      <c r="BJ11" s="54">
        <v>2</v>
      </c>
      <c r="BK11" s="54">
        <v>2</v>
      </c>
      <c r="BL11" s="54">
        <v>2</v>
      </c>
      <c r="BM11" s="54">
        <v>2</v>
      </c>
      <c r="BN11" s="54">
        <v>2</v>
      </c>
      <c r="BP11" s="54">
        <v>4</v>
      </c>
      <c r="BQ11" s="54"/>
      <c r="BR11" s="54"/>
      <c r="BS11" s="54"/>
      <c r="BT11" s="54"/>
    </row>
    <row r="12" spans="1:72" x14ac:dyDescent="0.25">
      <c r="H12" s="43" t="s">
        <v>11</v>
      </c>
      <c r="I12" s="46">
        <v>0.76100000000000001</v>
      </c>
      <c r="J12" s="4">
        <v>15000</v>
      </c>
      <c r="K12" s="4">
        <v>15000</v>
      </c>
      <c r="AF12" s="1" t="s">
        <v>104</v>
      </c>
      <c r="AG12" s="36">
        <v>0</v>
      </c>
      <c r="AH12" s="35">
        <v>4</v>
      </c>
      <c r="AI12" s="36">
        <v>0</v>
      </c>
      <c r="AJ12" s="35">
        <v>2</v>
      </c>
      <c r="AK12" s="36">
        <v>0</v>
      </c>
      <c r="AL12" s="36">
        <v>0</v>
      </c>
      <c r="AM12" s="35">
        <v>8</v>
      </c>
      <c r="AN12" s="36">
        <v>0</v>
      </c>
      <c r="AO12" s="35">
        <v>9</v>
      </c>
      <c r="AP12" s="35">
        <v>9</v>
      </c>
      <c r="AR12" s="54" t="s">
        <v>2</v>
      </c>
      <c r="AS12" s="54" t="s">
        <v>2</v>
      </c>
      <c r="AT12" s="54" t="s">
        <v>2</v>
      </c>
      <c r="AU12" s="54"/>
      <c r="AV12" s="54"/>
      <c r="AX12" s="54" t="s">
        <v>2</v>
      </c>
      <c r="AY12" s="54" t="s">
        <v>2</v>
      </c>
      <c r="AZ12" s="54"/>
      <c r="BA12" s="54"/>
      <c r="BB12" s="54"/>
      <c r="BD12" s="54" t="s">
        <v>2</v>
      </c>
      <c r="BE12" s="54" t="s">
        <v>2</v>
      </c>
      <c r="BF12" s="54"/>
      <c r="BG12" s="54"/>
      <c r="BH12" s="54"/>
      <c r="BJ12" s="54" t="s">
        <v>1</v>
      </c>
      <c r="BK12" s="54" t="s">
        <v>1</v>
      </c>
      <c r="BL12" s="54" t="s">
        <v>1</v>
      </c>
      <c r="BM12" s="54" t="s">
        <v>1</v>
      </c>
      <c r="BN12" s="54" t="s">
        <v>1</v>
      </c>
      <c r="BP12" s="54" t="s">
        <v>1</v>
      </c>
      <c r="BQ12" s="54"/>
      <c r="BR12" s="54"/>
      <c r="BS12" s="54"/>
      <c r="BT12" s="54"/>
    </row>
    <row r="13" spans="1:72" x14ac:dyDescent="0.25">
      <c r="H13" s="43" t="s">
        <v>10</v>
      </c>
      <c r="I13" s="46">
        <v>1.0149999999999999</v>
      </c>
      <c r="J13" s="4">
        <v>50000</v>
      </c>
      <c r="K13" s="4">
        <v>50000</v>
      </c>
      <c r="AF13" s="1" t="s">
        <v>105</v>
      </c>
      <c r="AG13" s="36">
        <v>0</v>
      </c>
      <c r="AH13" s="35">
        <v>2</v>
      </c>
      <c r="AI13" s="36">
        <v>0</v>
      </c>
      <c r="AJ13" s="35">
        <v>2</v>
      </c>
      <c r="AK13" s="36">
        <v>0</v>
      </c>
      <c r="AL13" s="36">
        <v>0</v>
      </c>
      <c r="AM13" s="35">
        <v>4</v>
      </c>
      <c r="AN13" s="36">
        <v>0</v>
      </c>
      <c r="AO13" s="35">
        <v>8</v>
      </c>
      <c r="AP13" s="35">
        <v>9</v>
      </c>
      <c r="AR13" s="54">
        <v>1000</v>
      </c>
      <c r="AS13" s="54">
        <v>1000</v>
      </c>
      <c r="AT13" s="54">
        <v>1000</v>
      </c>
      <c r="AU13" s="54"/>
      <c r="AV13" s="54"/>
      <c r="AX13" s="54">
        <v>1000</v>
      </c>
      <c r="AY13" s="54">
        <v>1000</v>
      </c>
      <c r="AZ13" s="54"/>
      <c r="BA13" s="54"/>
      <c r="BB13" s="54"/>
      <c r="BD13" s="54">
        <v>1000</v>
      </c>
      <c r="BE13" s="54">
        <v>1000</v>
      </c>
      <c r="BF13" s="54"/>
      <c r="BG13" s="54"/>
      <c r="BH13" s="54"/>
      <c r="BJ13" s="54">
        <v>1000</v>
      </c>
      <c r="BK13" s="54">
        <v>1000</v>
      </c>
      <c r="BL13" s="54">
        <v>1000</v>
      </c>
      <c r="BM13" s="54">
        <v>1000</v>
      </c>
      <c r="BN13" s="54">
        <v>1000</v>
      </c>
      <c r="BP13" s="54">
        <v>1000</v>
      </c>
      <c r="BQ13" s="54"/>
      <c r="BR13" s="54"/>
      <c r="BS13" s="54"/>
      <c r="BT13" s="54"/>
    </row>
    <row r="14" spans="1:72" x14ac:dyDescent="0.25">
      <c r="H14" s="43" t="s">
        <v>15</v>
      </c>
      <c r="I14" s="46">
        <v>1.37</v>
      </c>
      <c r="J14" s="4">
        <v>50000</v>
      </c>
      <c r="K14" s="4">
        <v>20000</v>
      </c>
      <c r="AF14" s="1" t="s">
        <v>106</v>
      </c>
      <c r="AG14" s="36">
        <v>0</v>
      </c>
      <c r="AH14" s="35">
        <v>2</v>
      </c>
      <c r="AI14" s="36">
        <v>0</v>
      </c>
      <c r="AJ14" s="35">
        <v>2</v>
      </c>
      <c r="AK14" s="36">
        <v>0</v>
      </c>
      <c r="AL14" s="36">
        <v>0</v>
      </c>
      <c r="AM14" s="35">
        <v>4</v>
      </c>
      <c r="AN14" s="36">
        <v>0</v>
      </c>
      <c r="AO14" s="35">
        <v>9</v>
      </c>
      <c r="AP14" s="35">
        <v>9</v>
      </c>
    </row>
    <row r="15" spans="1:72" x14ac:dyDescent="0.25">
      <c r="H15" s="43" t="s">
        <v>14</v>
      </c>
      <c r="I15" s="46">
        <v>1.0660000000000001</v>
      </c>
      <c r="J15" s="4">
        <v>50000</v>
      </c>
      <c r="K15" s="4">
        <v>15000</v>
      </c>
      <c r="AF15" s="1" t="s">
        <v>107</v>
      </c>
      <c r="AG15" s="36">
        <v>0</v>
      </c>
      <c r="AH15" s="35">
        <v>2</v>
      </c>
      <c r="AI15" s="36">
        <v>0</v>
      </c>
      <c r="AJ15" s="35">
        <v>2</v>
      </c>
      <c r="AK15" s="36">
        <v>0</v>
      </c>
      <c r="AL15" s="36">
        <v>0</v>
      </c>
      <c r="AM15" s="35">
        <v>4</v>
      </c>
      <c r="AN15" s="36">
        <v>0</v>
      </c>
      <c r="AO15" s="35">
        <v>6</v>
      </c>
      <c r="AP15" s="35">
        <v>9</v>
      </c>
    </row>
    <row r="16" spans="1:72" x14ac:dyDescent="0.25">
      <c r="AF16" s="1" t="s">
        <v>108</v>
      </c>
      <c r="AG16" s="36">
        <v>0</v>
      </c>
      <c r="AH16" s="35">
        <v>2</v>
      </c>
      <c r="AI16" s="36">
        <v>0</v>
      </c>
      <c r="AJ16" s="35">
        <v>2</v>
      </c>
      <c r="AK16" s="36">
        <v>0</v>
      </c>
      <c r="AL16" s="36">
        <v>0</v>
      </c>
      <c r="AM16" s="35">
        <v>8</v>
      </c>
      <c r="AN16" s="36">
        <v>0</v>
      </c>
      <c r="AO16" s="35">
        <v>8</v>
      </c>
      <c r="AP16" s="35">
        <v>9</v>
      </c>
    </row>
    <row r="17" spans="32:42" x14ac:dyDescent="0.25">
      <c r="AF17" s="1" t="s">
        <v>109</v>
      </c>
      <c r="AG17" s="36">
        <v>0</v>
      </c>
      <c r="AH17" s="35">
        <v>2</v>
      </c>
      <c r="AI17" s="36">
        <v>0</v>
      </c>
      <c r="AJ17" s="35">
        <v>2</v>
      </c>
      <c r="AK17" s="36">
        <v>0</v>
      </c>
      <c r="AL17" s="36">
        <v>0</v>
      </c>
      <c r="AM17" s="35">
        <v>4</v>
      </c>
      <c r="AN17" s="36">
        <v>0</v>
      </c>
      <c r="AO17" s="35">
        <v>8</v>
      </c>
      <c r="AP17" s="35">
        <v>8</v>
      </c>
    </row>
    <row r="18" spans="32:42" x14ac:dyDescent="0.25">
      <c r="AF18" s="1" t="s">
        <v>62</v>
      </c>
      <c r="AG18" s="36">
        <v>0</v>
      </c>
      <c r="AH18" s="35">
        <v>2</v>
      </c>
      <c r="AI18" s="36">
        <v>0</v>
      </c>
      <c r="AJ18" s="35">
        <v>2</v>
      </c>
      <c r="AK18" s="36">
        <v>0</v>
      </c>
      <c r="AL18" s="36">
        <v>0</v>
      </c>
      <c r="AM18" s="35">
        <v>4</v>
      </c>
      <c r="AN18" s="36">
        <v>0</v>
      </c>
      <c r="AO18" s="35">
        <v>8</v>
      </c>
      <c r="AP18" s="35">
        <v>9</v>
      </c>
    </row>
    <row r="19" spans="32:42" x14ac:dyDescent="0.25">
      <c r="AF19" s="1" t="s">
        <v>110</v>
      </c>
      <c r="AG19" s="36">
        <v>0</v>
      </c>
      <c r="AH19" s="35">
        <v>2</v>
      </c>
      <c r="AI19" s="36">
        <v>0</v>
      </c>
      <c r="AJ19" s="35">
        <v>2</v>
      </c>
      <c r="AK19" s="36">
        <v>0</v>
      </c>
      <c r="AL19" s="36">
        <v>0</v>
      </c>
      <c r="AM19" s="35">
        <v>4</v>
      </c>
      <c r="AN19" s="36">
        <v>0</v>
      </c>
      <c r="AO19" s="35">
        <v>4</v>
      </c>
      <c r="AP19" s="35">
        <v>8</v>
      </c>
    </row>
    <row r="20" spans="32:42" x14ac:dyDescent="0.25">
      <c r="AF20" s="1" t="s">
        <v>111</v>
      </c>
      <c r="AG20" s="36">
        <v>0</v>
      </c>
      <c r="AH20" s="35">
        <v>2</v>
      </c>
      <c r="AI20" s="36">
        <v>0</v>
      </c>
      <c r="AJ20" s="35">
        <v>2</v>
      </c>
      <c r="AK20" s="36">
        <v>0</v>
      </c>
      <c r="AL20" s="36">
        <v>0</v>
      </c>
      <c r="AM20" s="35">
        <v>4</v>
      </c>
      <c r="AN20" s="36">
        <v>0</v>
      </c>
      <c r="AO20" s="35">
        <v>6</v>
      </c>
      <c r="AP20" s="35">
        <v>8</v>
      </c>
    </row>
    <row r="21" spans="32:42" x14ac:dyDescent="0.25">
      <c r="AF21" s="1" t="s">
        <v>112</v>
      </c>
      <c r="AG21" s="36">
        <v>0</v>
      </c>
      <c r="AH21" s="35">
        <v>2</v>
      </c>
      <c r="AI21" s="36">
        <v>0</v>
      </c>
      <c r="AJ21" s="35">
        <v>2</v>
      </c>
      <c r="AK21" s="36">
        <v>0</v>
      </c>
      <c r="AL21" s="36">
        <v>0</v>
      </c>
      <c r="AM21" s="35">
        <v>4</v>
      </c>
      <c r="AN21" s="36">
        <v>0</v>
      </c>
      <c r="AO21" s="35">
        <v>4</v>
      </c>
      <c r="AP21" s="35">
        <v>6</v>
      </c>
    </row>
    <row r="22" spans="32:42" x14ac:dyDescent="0.25">
      <c r="AF22" s="1" t="s">
        <v>113</v>
      </c>
      <c r="AG22" s="36">
        <v>0</v>
      </c>
      <c r="AH22" s="35">
        <v>2</v>
      </c>
      <c r="AI22" s="36">
        <v>0</v>
      </c>
      <c r="AJ22" s="35">
        <v>2</v>
      </c>
      <c r="AK22" s="36">
        <v>0</v>
      </c>
      <c r="AL22" s="36">
        <v>0</v>
      </c>
      <c r="AM22" s="35">
        <v>4</v>
      </c>
      <c r="AN22" s="36">
        <v>0</v>
      </c>
      <c r="AO22" s="35">
        <v>6</v>
      </c>
      <c r="AP22" s="35">
        <v>6</v>
      </c>
    </row>
    <row r="23" spans="32:42" x14ac:dyDescent="0.25">
      <c r="AF23" s="1" t="s">
        <v>114</v>
      </c>
      <c r="AG23" s="36">
        <v>0</v>
      </c>
      <c r="AH23" s="35">
        <v>2</v>
      </c>
      <c r="AI23" s="36">
        <v>0</v>
      </c>
      <c r="AJ23" s="35">
        <v>2</v>
      </c>
      <c r="AK23" s="36">
        <v>0</v>
      </c>
      <c r="AL23" s="36">
        <v>0</v>
      </c>
      <c r="AM23" s="35">
        <v>4</v>
      </c>
      <c r="AN23" s="36">
        <v>0</v>
      </c>
      <c r="AO23" s="35">
        <v>4</v>
      </c>
      <c r="AP23" s="35">
        <v>6</v>
      </c>
    </row>
    <row r="24" spans="32:42" x14ac:dyDescent="0.25">
      <c r="AF24" s="1" t="s">
        <v>115</v>
      </c>
      <c r="AG24" s="36">
        <v>0</v>
      </c>
      <c r="AH24" s="35">
        <v>1</v>
      </c>
      <c r="AI24" s="36">
        <v>0</v>
      </c>
      <c r="AJ24" s="35">
        <v>1</v>
      </c>
      <c r="AK24" s="36">
        <v>0</v>
      </c>
      <c r="AL24" s="36">
        <v>0</v>
      </c>
      <c r="AM24" s="35">
        <v>4</v>
      </c>
      <c r="AN24" s="36">
        <v>0</v>
      </c>
      <c r="AO24" s="35">
        <v>4</v>
      </c>
      <c r="AP24" s="35">
        <v>4</v>
      </c>
    </row>
    <row r="25" spans="32:42" x14ac:dyDescent="0.25">
      <c r="AF25" s="1" t="s">
        <v>116</v>
      </c>
      <c r="AG25" s="36">
        <v>0</v>
      </c>
      <c r="AH25" s="35">
        <v>1</v>
      </c>
      <c r="AI25" s="36">
        <v>0</v>
      </c>
      <c r="AJ25" s="35">
        <v>1</v>
      </c>
      <c r="AK25" s="36">
        <v>0</v>
      </c>
      <c r="AL25" s="36">
        <v>0</v>
      </c>
      <c r="AM25" s="35">
        <v>4</v>
      </c>
      <c r="AN25" s="36">
        <v>0</v>
      </c>
      <c r="AO25" s="35">
        <v>4</v>
      </c>
      <c r="AP25" s="35">
        <v>4</v>
      </c>
    </row>
    <row r="26" spans="32:42" x14ac:dyDescent="0.25">
      <c r="AF26" s="1" t="s">
        <v>117</v>
      </c>
      <c r="AG26" s="36">
        <v>0</v>
      </c>
      <c r="AH26" s="35">
        <v>1</v>
      </c>
      <c r="AI26" s="36">
        <v>0</v>
      </c>
      <c r="AJ26" s="35">
        <v>2</v>
      </c>
      <c r="AK26" s="36">
        <v>0</v>
      </c>
      <c r="AL26" s="36">
        <v>0</v>
      </c>
      <c r="AM26" s="35">
        <v>4</v>
      </c>
      <c r="AN26" s="36">
        <v>0</v>
      </c>
      <c r="AO26" s="35">
        <v>4</v>
      </c>
      <c r="AP26" s="35">
        <v>4</v>
      </c>
    </row>
    <row r="27" spans="32:42" x14ac:dyDescent="0.25">
      <c r="AF27" s="1" t="s">
        <v>63</v>
      </c>
      <c r="AG27" s="36">
        <v>0</v>
      </c>
      <c r="AH27" s="35">
        <v>1</v>
      </c>
      <c r="AI27" s="36">
        <v>0</v>
      </c>
      <c r="AJ27" s="35">
        <v>2</v>
      </c>
      <c r="AK27" s="36">
        <v>0</v>
      </c>
      <c r="AL27" s="36">
        <v>0</v>
      </c>
      <c r="AM27" s="35">
        <v>2</v>
      </c>
      <c r="AN27" s="36">
        <v>0</v>
      </c>
      <c r="AO27" s="35">
        <v>4</v>
      </c>
      <c r="AP27" s="35">
        <v>4</v>
      </c>
    </row>
    <row r="28" spans="32:42" x14ac:dyDescent="0.25">
      <c r="AF28" s="1" t="s">
        <v>118</v>
      </c>
      <c r="AG28" s="36">
        <v>0</v>
      </c>
      <c r="AH28" s="35">
        <v>1</v>
      </c>
      <c r="AI28" s="36">
        <v>0</v>
      </c>
      <c r="AJ28" s="35">
        <v>2</v>
      </c>
      <c r="AK28" s="36">
        <v>0</v>
      </c>
      <c r="AL28" s="36">
        <v>0</v>
      </c>
      <c r="AM28" s="35">
        <v>4</v>
      </c>
      <c r="AN28" s="36">
        <v>0</v>
      </c>
      <c r="AO28" s="35">
        <v>4</v>
      </c>
      <c r="AP28" s="35">
        <v>4</v>
      </c>
    </row>
    <row r="29" spans="32:42" x14ac:dyDescent="0.25">
      <c r="AF29" s="1" t="s">
        <v>119</v>
      </c>
      <c r="AG29" s="36">
        <v>0</v>
      </c>
      <c r="AH29" s="35">
        <v>1</v>
      </c>
      <c r="AI29" s="36">
        <v>0</v>
      </c>
      <c r="AJ29" s="35">
        <v>2</v>
      </c>
      <c r="AK29" s="36">
        <v>0</v>
      </c>
      <c r="AL29" s="36">
        <v>0</v>
      </c>
      <c r="AM29" s="35">
        <v>2</v>
      </c>
      <c r="AN29" s="36">
        <v>0</v>
      </c>
      <c r="AO29" s="35">
        <v>4</v>
      </c>
      <c r="AP29" s="35">
        <v>4</v>
      </c>
    </row>
    <row r="30" spans="32:42" x14ac:dyDescent="0.25">
      <c r="AF30" s="1" t="s">
        <v>120</v>
      </c>
      <c r="AG30" s="36">
        <v>0</v>
      </c>
      <c r="AH30" s="35">
        <v>1</v>
      </c>
      <c r="AI30" s="36">
        <v>0</v>
      </c>
      <c r="AJ30" s="35">
        <v>2</v>
      </c>
      <c r="AK30" s="36">
        <v>0</v>
      </c>
      <c r="AL30" s="36">
        <v>0</v>
      </c>
      <c r="AM30" s="35">
        <v>4</v>
      </c>
      <c r="AN30" s="36">
        <v>0</v>
      </c>
      <c r="AO30" s="35">
        <v>4</v>
      </c>
      <c r="AP30" s="35">
        <v>4</v>
      </c>
    </row>
    <row r="31" spans="32:42" x14ac:dyDescent="0.25">
      <c r="AF31" s="1" t="s">
        <v>64</v>
      </c>
      <c r="AG31" s="36">
        <v>0</v>
      </c>
      <c r="AH31" s="35">
        <v>1</v>
      </c>
      <c r="AI31" s="36">
        <v>0</v>
      </c>
      <c r="AJ31" s="35">
        <v>1</v>
      </c>
      <c r="AK31" s="36">
        <v>0</v>
      </c>
      <c r="AL31" s="36">
        <v>0</v>
      </c>
      <c r="AM31" s="35">
        <v>2</v>
      </c>
      <c r="AN31" s="36">
        <v>0</v>
      </c>
      <c r="AO31" s="35">
        <v>4</v>
      </c>
      <c r="AP31" s="35">
        <v>4</v>
      </c>
    </row>
    <row r="32" spans="32:42" x14ac:dyDescent="0.25">
      <c r="AF32" s="1" t="s">
        <v>121</v>
      </c>
      <c r="AG32" s="36">
        <v>0</v>
      </c>
      <c r="AH32" s="35">
        <v>1</v>
      </c>
      <c r="AI32" s="36">
        <v>0</v>
      </c>
      <c r="AJ32" s="35">
        <v>1</v>
      </c>
      <c r="AK32" s="36">
        <v>0</v>
      </c>
      <c r="AL32" s="36">
        <v>0</v>
      </c>
      <c r="AM32" s="35">
        <v>1</v>
      </c>
      <c r="AN32" s="36">
        <v>0</v>
      </c>
      <c r="AO32" s="35">
        <v>2</v>
      </c>
      <c r="AP32" s="35">
        <v>2</v>
      </c>
    </row>
    <row r="33" spans="32:42" x14ac:dyDescent="0.25">
      <c r="AF33" s="1" t="s">
        <v>122</v>
      </c>
      <c r="AG33" s="36">
        <v>0</v>
      </c>
      <c r="AH33" s="35">
        <v>1E-3</v>
      </c>
      <c r="AI33" s="36">
        <v>0</v>
      </c>
      <c r="AJ33" s="35">
        <v>1</v>
      </c>
      <c r="AK33" s="36">
        <v>0</v>
      </c>
      <c r="AL33" s="36">
        <v>0</v>
      </c>
      <c r="AM33" s="35">
        <v>1</v>
      </c>
      <c r="AN33" s="36">
        <v>0</v>
      </c>
      <c r="AO33" s="35">
        <v>2</v>
      </c>
      <c r="AP33" s="35">
        <v>2</v>
      </c>
    </row>
    <row r="34" spans="32:42" x14ac:dyDescent="0.25">
      <c r="AF34" s="1" t="s">
        <v>123</v>
      </c>
      <c r="AG34" s="36">
        <v>0</v>
      </c>
      <c r="AH34" s="35">
        <v>1</v>
      </c>
      <c r="AI34" s="36">
        <v>0</v>
      </c>
      <c r="AJ34" s="35">
        <v>1E-3</v>
      </c>
      <c r="AK34" s="36">
        <v>0</v>
      </c>
      <c r="AL34" s="36">
        <v>0</v>
      </c>
      <c r="AM34" s="35">
        <v>2</v>
      </c>
      <c r="AN34" s="36">
        <v>0</v>
      </c>
      <c r="AO34" s="35">
        <v>3</v>
      </c>
      <c r="AP34" s="35">
        <v>3</v>
      </c>
    </row>
    <row r="35" spans="32:42" x14ac:dyDescent="0.25">
      <c r="AF35" s="1" t="s">
        <v>124</v>
      </c>
      <c r="AG35" s="36">
        <v>0</v>
      </c>
      <c r="AH35" s="35">
        <v>1</v>
      </c>
      <c r="AI35" s="36">
        <v>0</v>
      </c>
      <c r="AJ35" s="35">
        <v>1E-3</v>
      </c>
      <c r="AK35" s="36">
        <v>0</v>
      </c>
      <c r="AL35" s="36">
        <v>0</v>
      </c>
      <c r="AM35" s="35">
        <v>2</v>
      </c>
      <c r="AN35" s="36">
        <v>0</v>
      </c>
      <c r="AO35" s="35">
        <v>2</v>
      </c>
      <c r="AP35" s="35">
        <v>3</v>
      </c>
    </row>
    <row r="36" spans="32:42" x14ac:dyDescent="0.25">
      <c r="AF36" s="1" t="s">
        <v>125</v>
      </c>
      <c r="AG36" s="36">
        <v>0</v>
      </c>
      <c r="AH36" s="35">
        <v>1</v>
      </c>
      <c r="AI36" s="36">
        <v>0</v>
      </c>
      <c r="AJ36" s="35">
        <v>1</v>
      </c>
      <c r="AK36" s="36">
        <v>0</v>
      </c>
      <c r="AL36" s="36">
        <v>0</v>
      </c>
      <c r="AM36" s="35">
        <v>2</v>
      </c>
      <c r="AN36" s="36">
        <v>0</v>
      </c>
      <c r="AO36" s="35">
        <v>3</v>
      </c>
      <c r="AP36" s="35">
        <v>3</v>
      </c>
    </row>
    <row r="37" spans="32:42" x14ac:dyDescent="0.25">
      <c r="AF37" s="1" t="s">
        <v>126</v>
      </c>
      <c r="AG37" s="36">
        <v>0</v>
      </c>
      <c r="AH37" s="35">
        <v>1</v>
      </c>
      <c r="AI37" s="36">
        <v>0</v>
      </c>
      <c r="AJ37" s="35">
        <v>1</v>
      </c>
      <c r="AK37" s="36">
        <v>0</v>
      </c>
      <c r="AL37" s="36">
        <v>0</v>
      </c>
      <c r="AM37" s="35">
        <v>2</v>
      </c>
      <c r="AN37" s="36">
        <v>0</v>
      </c>
      <c r="AO37" s="35">
        <v>2</v>
      </c>
      <c r="AP37" s="35">
        <v>3</v>
      </c>
    </row>
    <row r="38" spans="32:42" x14ac:dyDescent="0.25">
      <c r="AF38" s="1" t="s">
        <v>127</v>
      </c>
      <c r="AG38" s="36">
        <v>0</v>
      </c>
      <c r="AH38" s="35">
        <v>1</v>
      </c>
      <c r="AI38" s="36">
        <v>0</v>
      </c>
      <c r="AJ38" s="35">
        <v>1</v>
      </c>
      <c r="AK38" s="36">
        <v>0</v>
      </c>
      <c r="AL38" s="36">
        <v>0</v>
      </c>
      <c r="AM38" s="35">
        <v>2</v>
      </c>
      <c r="AN38" s="36">
        <v>0</v>
      </c>
      <c r="AO38" s="35">
        <v>3</v>
      </c>
      <c r="AP38" s="35">
        <v>3</v>
      </c>
    </row>
    <row r="39" spans="32:42" x14ac:dyDescent="0.25">
      <c r="AF39" s="1" t="s">
        <v>128</v>
      </c>
      <c r="AG39" s="36">
        <v>0</v>
      </c>
      <c r="AH39" s="35">
        <v>1</v>
      </c>
      <c r="AI39" s="36">
        <v>0</v>
      </c>
      <c r="AJ39" s="35">
        <v>1</v>
      </c>
      <c r="AK39" s="36">
        <v>0</v>
      </c>
      <c r="AL39" s="36">
        <v>0</v>
      </c>
      <c r="AM39" s="35">
        <v>1</v>
      </c>
      <c r="AN39" s="36">
        <v>0</v>
      </c>
      <c r="AO39" s="35">
        <v>2</v>
      </c>
      <c r="AP39" s="35">
        <v>3</v>
      </c>
    </row>
    <row r="40" spans="32:42" x14ac:dyDescent="0.25">
      <c r="AF40" s="1" t="s">
        <v>129</v>
      </c>
      <c r="AG40" s="36">
        <v>0</v>
      </c>
      <c r="AH40" s="35">
        <v>1</v>
      </c>
      <c r="AI40" s="36">
        <v>0</v>
      </c>
      <c r="AJ40" s="35">
        <v>1</v>
      </c>
      <c r="AK40" s="36">
        <v>0</v>
      </c>
      <c r="AL40" s="36">
        <v>0</v>
      </c>
      <c r="AM40" s="35">
        <v>1</v>
      </c>
      <c r="AN40" s="36">
        <v>0</v>
      </c>
      <c r="AO40" s="35">
        <v>2</v>
      </c>
      <c r="AP40" s="35">
        <v>2</v>
      </c>
    </row>
    <row r="41" spans="32:42" x14ac:dyDescent="0.25">
      <c r="AF41" s="1" t="s">
        <v>65</v>
      </c>
      <c r="AG41" s="36">
        <v>0</v>
      </c>
      <c r="AH41" s="35">
        <v>1E-3</v>
      </c>
      <c r="AI41" s="36">
        <v>0</v>
      </c>
      <c r="AJ41" s="35">
        <v>1</v>
      </c>
      <c r="AK41" s="36">
        <v>0</v>
      </c>
      <c r="AL41" s="36">
        <v>0</v>
      </c>
      <c r="AM41" s="35">
        <v>1</v>
      </c>
      <c r="AN41" s="36">
        <v>0</v>
      </c>
      <c r="AO41" s="35">
        <v>1</v>
      </c>
      <c r="AP41" s="35">
        <v>2</v>
      </c>
    </row>
    <row r="42" spans="32:42" x14ac:dyDescent="0.25">
      <c r="AF42" s="1" t="s">
        <v>130</v>
      </c>
      <c r="AG42" s="36">
        <v>0</v>
      </c>
      <c r="AH42" s="35">
        <v>1</v>
      </c>
      <c r="AI42" s="36">
        <v>0</v>
      </c>
      <c r="AJ42" s="35">
        <v>1E-3</v>
      </c>
      <c r="AK42" s="36">
        <v>0</v>
      </c>
      <c r="AL42" s="36">
        <v>0</v>
      </c>
      <c r="AM42" s="35">
        <v>2</v>
      </c>
      <c r="AN42" s="36">
        <v>0</v>
      </c>
      <c r="AO42" s="35">
        <v>4</v>
      </c>
      <c r="AP42" s="35">
        <v>4</v>
      </c>
    </row>
    <row r="43" spans="32:42" x14ac:dyDescent="0.25">
      <c r="AF43" s="1" t="s">
        <v>131</v>
      </c>
      <c r="AG43" s="36">
        <v>0</v>
      </c>
      <c r="AH43" s="35">
        <v>1E-3</v>
      </c>
      <c r="AI43" s="36">
        <v>0</v>
      </c>
      <c r="AJ43" s="35">
        <v>1E-3</v>
      </c>
      <c r="AK43" s="36">
        <v>0</v>
      </c>
      <c r="AL43" s="36">
        <v>0</v>
      </c>
      <c r="AM43" s="35">
        <v>2</v>
      </c>
      <c r="AN43" s="36">
        <v>0</v>
      </c>
      <c r="AO43" s="35">
        <v>2</v>
      </c>
      <c r="AP43" s="35">
        <v>4</v>
      </c>
    </row>
    <row r="44" spans="32:42" x14ac:dyDescent="0.25">
      <c r="AF44" s="1" t="s">
        <v>132</v>
      </c>
      <c r="AG44" s="36">
        <v>0</v>
      </c>
      <c r="AH44" s="35">
        <v>1</v>
      </c>
      <c r="AI44" s="36">
        <v>0</v>
      </c>
      <c r="AJ44" s="35">
        <v>2</v>
      </c>
      <c r="AK44" s="36">
        <v>0</v>
      </c>
      <c r="AL44" s="36">
        <v>0</v>
      </c>
      <c r="AM44" s="35">
        <v>2</v>
      </c>
      <c r="AN44" s="36">
        <v>0</v>
      </c>
      <c r="AO44" s="35">
        <v>4</v>
      </c>
      <c r="AP44" s="35">
        <v>4</v>
      </c>
    </row>
    <row r="45" spans="32:42" x14ac:dyDescent="0.25">
      <c r="AF45" s="1" t="s">
        <v>133</v>
      </c>
      <c r="AG45" s="36">
        <v>0</v>
      </c>
      <c r="AH45" s="35">
        <v>1</v>
      </c>
      <c r="AI45" s="36">
        <v>0</v>
      </c>
      <c r="AJ45" s="35">
        <v>2</v>
      </c>
      <c r="AK45" s="36">
        <v>0</v>
      </c>
      <c r="AL45" s="36">
        <v>0</v>
      </c>
      <c r="AM45" s="35">
        <v>2</v>
      </c>
      <c r="AN45" s="36">
        <v>0</v>
      </c>
      <c r="AO45" s="35">
        <v>2</v>
      </c>
      <c r="AP45" s="35">
        <v>4</v>
      </c>
    </row>
    <row r="46" spans="32:42" x14ac:dyDescent="0.25">
      <c r="AF46" s="1" t="s">
        <v>134</v>
      </c>
      <c r="AG46" s="36">
        <v>0</v>
      </c>
      <c r="AH46" s="35">
        <v>1</v>
      </c>
      <c r="AI46" s="36">
        <v>0</v>
      </c>
      <c r="AJ46" s="35">
        <v>1</v>
      </c>
      <c r="AK46" s="36">
        <v>0</v>
      </c>
      <c r="AL46" s="36">
        <v>0</v>
      </c>
      <c r="AM46" s="35">
        <v>2</v>
      </c>
      <c r="AN46" s="36">
        <v>0</v>
      </c>
      <c r="AO46" s="35">
        <v>4</v>
      </c>
      <c r="AP46" s="35">
        <v>4</v>
      </c>
    </row>
    <row r="47" spans="32:42" x14ac:dyDescent="0.25">
      <c r="AF47" s="1" t="s">
        <v>135</v>
      </c>
      <c r="AG47" s="36">
        <v>0</v>
      </c>
      <c r="AH47" s="35">
        <v>1</v>
      </c>
      <c r="AI47" s="36">
        <v>0</v>
      </c>
      <c r="AJ47" s="35">
        <v>1</v>
      </c>
      <c r="AK47" s="36">
        <v>0</v>
      </c>
      <c r="AL47" s="36">
        <v>0</v>
      </c>
      <c r="AM47" s="35">
        <v>2</v>
      </c>
      <c r="AN47" s="36">
        <v>0</v>
      </c>
      <c r="AO47" s="35">
        <v>2</v>
      </c>
      <c r="AP47" s="35">
        <v>4</v>
      </c>
    </row>
    <row r="48" spans="32:42" x14ac:dyDescent="0.25">
      <c r="AF48" s="1" t="s">
        <v>136</v>
      </c>
      <c r="AG48" s="36">
        <v>0</v>
      </c>
      <c r="AH48" s="35">
        <v>1</v>
      </c>
      <c r="AI48" s="36">
        <v>0</v>
      </c>
      <c r="AJ48" s="35">
        <v>1</v>
      </c>
      <c r="AK48" s="36">
        <v>0</v>
      </c>
      <c r="AL48" s="36">
        <v>0</v>
      </c>
      <c r="AM48" s="35">
        <v>2</v>
      </c>
      <c r="AN48" s="36">
        <v>0</v>
      </c>
      <c r="AO48" s="35">
        <v>4</v>
      </c>
      <c r="AP48" s="35">
        <v>4</v>
      </c>
    </row>
    <row r="49" spans="32:42" x14ac:dyDescent="0.25">
      <c r="AF49" s="1" t="s">
        <v>137</v>
      </c>
      <c r="AG49" s="36">
        <v>0</v>
      </c>
      <c r="AH49" s="35">
        <v>1</v>
      </c>
      <c r="AI49" s="36">
        <v>0</v>
      </c>
      <c r="AJ49" s="35">
        <v>1</v>
      </c>
      <c r="AK49" s="36">
        <v>0</v>
      </c>
      <c r="AL49" s="36">
        <v>0</v>
      </c>
      <c r="AM49" s="35">
        <v>2</v>
      </c>
      <c r="AN49" s="36">
        <v>0</v>
      </c>
      <c r="AO49" s="35">
        <v>2</v>
      </c>
      <c r="AP49" s="35">
        <v>4</v>
      </c>
    </row>
    <row r="50" spans="32:42" x14ac:dyDescent="0.25">
      <c r="AF50" s="1" t="s">
        <v>138</v>
      </c>
      <c r="AG50" s="36">
        <v>0</v>
      </c>
      <c r="AH50" s="35">
        <v>1</v>
      </c>
      <c r="AI50" s="36">
        <v>0</v>
      </c>
      <c r="AJ50" s="35">
        <v>1</v>
      </c>
      <c r="AK50" s="36">
        <v>0</v>
      </c>
      <c r="AL50" s="36">
        <v>0</v>
      </c>
      <c r="AM50" s="35">
        <v>2</v>
      </c>
      <c r="AN50" s="36">
        <v>0</v>
      </c>
      <c r="AO50" s="35">
        <v>2</v>
      </c>
      <c r="AP50" s="35">
        <v>2</v>
      </c>
    </row>
    <row r="51" spans="32:42" x14ac:dyDescent="0.25">
      <c r="AF51" s="1" t="s">
        <v>139</v>
      </c>
      <c r="AG51" s="36">
        <v>0</v>
      </c>
      <c r="AH51" s="35">
        <v>1</v>
      </c>
      <c r="AI51" s="36">
        <v>0</v>
      </c>
      <c r="AJ51" s="35">
        <v>1</v>
      </c>
      <c r="AK51" s="36">
        <v>0</v>
      </c>
      <c r="AL51" s="36">
        <v>0</v>
      </c>
      <c r="AM51" s="35">
        <v>2</v>
      </c>
      <c r="AN51" s="36">
        <v>0</v>
      </c>
      <c r="AO51" s="35">
        <v>2</v>
      </c>
      <c r="AP51" s="35">
        <v>2</v>
      </c>
    </row>
    <row r="52" spans="32:42" x14ac:dyDescent="0.25">
      <c r="AF52" s="1" t="s">
        <v>140</v>
      </c>
      <c r="AG52" s="36">
        <v>0</v>
      </c>
      <c r="AH52" s="35">
        <v>1</v>
      </c>
      <c r="AI52" s="36">
        <v>0</v>
      </c>
      <c r="AJ52" s="35">
        <v>1</v>
      </c>
      <c r="AK52" s="36">
        <v>0</v>
      </c>
      <c r="AL52" s="36">
        <v>0</v>
      </c>
      <c r="AM52" s="35">
        <v>2</v>
      </c>
      <c r="AN52" s="36">
        <v>0</v>
      </c>
      <c r="AO52" s="35">
        <v>2</v>
      </c>
      <c r="AP52" s="35">
        <v>2</v>
      </c>
    </row>
    <row r="53" spans="32:42" x14ac:dyDescent="0.25">
      <c r="AF53" s="1" t="s">
        <v>141</v>
      </c>
      <c r="AG53" s="36">
        <v>0</v>
      </c>
      <c r="AH53" s="35">
        <v>1</v>
      </c>
      <c r="AI53" s="36">
        <v>0</v>
      </c>
      <c r="AJ53" s="35">
        <v>1</v>
      </c>
      <c r="AK53" s="36">
        <v>0</v>
      </c>
      <c r="AL53" s="36">
        <v>0</v>
      </c>
      <c r="AM53" s="35">
        <v>2</v>
      </c>
      <c r="AN53" s="36">
        <v>0</v>
      </c>
      <c r="AO53" s="35">
        <v>2</v>
      </c>
      <c r="AP53" s="35">
        <v>2</v>
      </c>
    </row>
    <row r="54" spans="32:42" x14ac:dyDescent="0.25">
      <c r="AF54" s="1" t="s">
        <v>142</v>
      </c>
      <c r="AG54" s="36">
        <v>0</v>
      </c>
      <c r="AH54" s="35">
        <v>1</v>
      </c>
      <c r="AI54" s="36">
        <v>0</v>
      </c>
      <c r="AJ54" s="35">
        <v>2</v>
      </c>
      <c r="AK54" s="36">
        <v>0</v>
      </c>
      <c r="AL54" s="36">
        <v>0</v>
      </c>
      <c r="AM54" s="35">
        <v>2</v>
      </c>
      <c r="AN54" s="36">
        <v>0</v>
      </c>
      <c r="AO54" s="35">
        <v>2</v>
      </c>
      <c r="AP54" s="35">
        <v>2</v>
      </c>
    </row>
    <row r="55" spans="32:42" x14ac:dyDescent="0.25">
      <c r="AF55" s="1" t="s">
        <v>143</v>
      </c>
      <c r="AG55" s="36">
        <v>0</v>
      </c>
      <c r="AH55" s="35">
        <v>1</v>
      </c>
      <c r="AI55" s="36">
        <v>0</v>
      </c>
      <c r="AJ55" s="35">
        <v>1</v>
      </c>
      <c r="AK55" s="36">
        <v>0</v>
      </c>
      <c r="AL55" s="36">
        <v>0</v>
      </c>
      <c r="AM55" s="35">
        <v>2</v>
      </c>
      <c r="AN55" s="36">
        <v>0</v>
      </c>
      <c r="AO55" s="35">
        <v>2</v>
      </c>
      <c r="AP55" s="35">
        <v>2</v>
      </c>
    </row>
    <row r="56" spans="32:42" x14ac:dyDescent="0.25">
      <c r="AF56" s="1" t="s">
        <v>144</v>
      </c>
      <c r="AG56" s="36">
        <v>0</v>
      </c>
      <c r="AH56" s="35">
        <v>1</v>
      </c>
      <c r="AI56" s="36">
        <v>0</v>
      </c>
      <c r="AJ56" s="35">
        <v>1</v>
      </c>
      <c r="AK56" s="36">
        <v>0</v>
      </c>
      <c r="AL56" s="36">
        <v>0</v>
      </c>
      <c r="AM56" s="35">
        <v>2</v>
      </c>
      <c r="AN56" s="36">
        <v>0</v>
      </c>
      <c r="AO56" s="35">
        <v>2</v>
      </c>
      <c r="AP56" s="35">
        <v>2</v>
      </c>
    </row>
    <row r="57" spans="32:42" x14ac:dyDescent="0.25">
      <c r="AF57" s="1" t="s">
        <v>145</v>
      </c>
      <c r="AG57" s="36">
        <v>0</v>
      </c>
      <c r="AH57" s="35">
        <v>1</v>
      </c>
      <c r="AI57" s="36">
        <v>0</v>
      </c>
      <c r="AJ57" s="35">
        <v>1</v>
      </c>
      <c r="AK57" s="36">
        <v>0</v>
      </c>
      <c r="AL57" s="36">
        <v>0</v>
      </c>
      <c r="AM57" s="35">
        <v>2</v>
      </c>
      <c r="AN57" s="36">
        <v>0</v>
      </c>
      <c r="AO57" s="35">
        <v>2</v>
      </c>
      <c r="AP57" s="35">
        <v>2</v>
      </c>
    </row>
    <row r="58" spans="32:42" x14ac:dyDescent="0.25">
      <c r="AF58" s="1" t="s">
        <v>146</v>
      </c>
      <c r="AG58" s="36">
        <v>0</v>
      </c>
      <c r="AH58" s="35">
        <v>1</v>
      </c>
      <c r="AI58" s="36">
        <v>0</v>
      </c>
      <c r="AJ58" s="35">
        <v>1</v>
      </c>
      <c r="AK58" s="36">
        <v>0</v>
      </c>
      <c r="AL58" s="36">
        <v>0</v>
      </c>
      <c r="AM58" s="35">
        <v>2</v>
      </c>
      <c r="AN58" s="36">
        <v>0</v>
      </c>
      <c r="AO58" s="35">
        <v>2</v>
      </c>
      <c r="AP58" s="35">
        <v>2</v>
      </c>
    </row>
    <row r="59" spans="32:42" x14ac:dyDescent="0.25">
      <c r="AF59" s="1" t="s">
        <v>147</v>
      </c>
      <c r="AG59" s="36">
        <v>0</v>
      </c>
      <c r="AH59" s="35">
        <v>1</v>
      </c>
      <c r="AI59" s="36">
        <v>0</v>
      </c>
      <c r="AJ59" s="35">
        <v>1</v>
      </c>
      <c r="AK59" s="36">
        <v>0</v>
      </c>
      <c r="AL59" s="36">
        <v>0</v>
      </c>
      <c r="AM59" s="35">
        <v>2</v>
      </c>
      <c r="AN59" s="36">
        <v>0</v>
      </c>
      <c r="AO59" s="35">
        <v>2</v>
      </c>
      <c r="AP59" s="35">
        <v>2</v>
      </c>
    </row>
    <row r="60" spans="32:42" x14ac:dyDescent="0.25">
      <c r="AF60" s="1" t="s">
        <v>148</v>
      </c>
      <c r="AG60" s="36">
        <v>0</v>
      </c>
      <c r="AH60" s="35">
        <v>1</v>
      </c>
      <c r="AI60" s="36">
        <v>0</v>
      </c>
      <c r="AJ60" s="35">
        <v>1</v>
      </c>
      <c r="AK60" s="36">
        <v>0</v>
      </c>
      <c r="AL60" s="36">
        <v>0</v>
      </c>
      <c r="AM60" s="35">
        <v>2</v>
      </c>
      <c r="AN60" s="36">
        <v>0</v>
      </c>
      <c r="AO60" s="35">
        <v>2</v>
      </c>
      <c r="AP60" s="35">
        <v>2</v>
      </c>
    </row>
    <row r="61" spans="32:42" x14ac:dyDescent="0.25">
      <c r="AF61" s="1" t="s">
        <v>149</v>
      </c>
      <c r="AG61" s="36">
        <v>0</v>
      </c>
      <c r="AH61" s="35">
        <v>1</v>
      </c>
      <c r="AI61" s="36">
        <v>0</v>
      </c>
      <c r="AJ61" s="35">
        <v>1</v>
      </c>
      <c r="AK61" s="36">
        <v>0</v>
      </c>
      <c r="AL61" s="36">
        <v>0</v>
      </c>
      <c r="AM61" s="35">
        <v>2</v>
      </c>
      <c r="AN61" s="36">
        <v>0</v>
      </c>
      <c r="AO61" s="35">
        <v>2</v>
      </c>
      <c r="AP61" s="35">
        <v>2</v>
      </c>
    </row>
    <row r="62" spans="32:42" x14ac:dyDescent="0.25">
      <c r="AF62" s="1" t="s">
        <v>85</v>
      </c>
      <c r="AG62" s="36">
        <v>0</v>
      </c>
      <c r="AH62" s="35">
        <v>1</v>
      </c>
      <c r="AI62" s="36">
        <v>0</v>
      </c>
      <c r="AJ62" s="35">
        <v>1E-3</v>
      </c>
      <c r="AK62" s="36">
        <v>0</v>
      </c>
      <c r="AL62" s="36">
        <v>0</v>
      </c>
      <c r="AM62" s="35">
        <v>2</v>
      </c>
      <c r="AN62" s="36">
        <v>0</v>
      </c>
      <c r="AO62" s="35">
        <v>2</v>
      </c>
      <c r="AP62" s="35">
        <v>2</v>
      </c>
    </row>
    <row r="63" spans="32:42" x14ac:dyDescent="0.25">
      <c r="AF63" s="1" t="s">
        <v>150</v>
      </c>
      <c r="AG63" s="36">
        <v>0</v>
      </c>
      <c r="AH63" s="35">
        <v>1E-3</v>
      </c>
      <c r="AI63" s="35">
        <v>1</v>
      </c>
      <c r="AJ63" s="35">
        <v>1E-3</v>
      </c>
      <c r="AK63" s="36">
        <v>0</v>
      </c>
      <c r="AL63" s="36">
        <v>0</v>
      </c>
      <c r="AM63" s="35">
        <v>1E-3</v>
      </c>
      <c r="AN63" s="36">
        <v>0</v>
      </c>
      <c r="AO63" s="35">
        <v>1E-3</v>
      </c>
      <c r="AP63" s="35">
        <v>1E-3</v>
      </c>
    </row>
    <row r="64" spans="32:42" x14ac:dyDescent="0.25">
      <c r="AF64" s="1" t="s">
        <v>151</v>
      </c>
      <c r="AG64" s="36">
        <v>0</v>
      </c>
      <c r="AH64" s="35">
        <v>1E-3</v>
      </c>
      <c r="AI64" s="36">
        <v>0</v>
      </c>
      <c r="AJ64" s="35">
        <v>1E-3</v>
      </c>
      <c r="AK64" s="36">
        <v>0</v>
      </c>
      <c r="AL64" s="36">
        <v>0</v>
      </c>
      <c r="AM64" s="35">
        <v>0.33</v>
      </c>
      <c r="AN64" s="36">
        <v>0</v>
      </c>
      <c r="AO64" s="35">
        <v>0.33</v>
      </c>
      <c r="AP64" s="35">
        <v>0.33</v>
      </c>
    </row>
    <row r="65" spans="32:42" x14ac:dyDescent="0.25">
      <c r="AF65" s="1" t="s">
        <v>152</v>
      </c>
      <c r="AG65" s="36">
        <v>0</v>
      </c>
      <c r="AH65" s="35">
        <v>1E-3</v>
      </c>
      <c r="AI65" s="36">
        <v>0</v>
      </c>
      <c r="AJ65" s="35">
        <v>1E-3</v>
      </c>
      <c r="AK65" s="36">
        <v>0</v>
      </c>
      <c r="AL65" s="36">
        <v>0</v>
      </c>
      <c r="AM65" s="35">
        <v>1E-3</v>
      </c>
      <c r="AN65" s="36">
        <v>0</v>
      </c>
      <c r="AO65" s="35">
        <v>0.33</v>
      </c>
      <c r="AP65" s="35">
        <v>0.33</v>
      </c>
    </row>
    <row r="66" spans="32:42" x14ac:dyDescent="0.25">
      <c r="AF66" s="1" t="s">
        <v>153</v>
      </c>
      <c r="AG66" s="36">
        <v>0</v>
      </c>
      <c r="AH66" s="35">
        <v>1E-3</v>
      </c>
      <c r="AI66" s="36">
        <v>0</v>
      </c>
      <c r="AJ66" s="35">
        <v>1E-3</v>
      </c>
      <c r="AK66" s="36">
        <v>0</v>
      </c>
      <c r="AL66" s="36">
        <v>0</v>
      </c>
      <c r="AM66" s="35">
        <v>0.5</v>
      </c>
      <c r="AN66" s="36">
        <v>0</v>
      </c>
      <c r="AO66" s="35">
        <v>0.5</v>
      </c>
      <c r="AP66" s="35">
        <v>0.5</v>
      </c>
    </row>
    <row r="67" spans="32:42" x14ac:dyDescent="0.25">
      <c r="AF67" s="1" t="s">
        <v>154</v>
      </c>
      <c r="AG67" s="36">
        <v>0</v>
      </c>
      <c r="AH67" s="35">
        <v>1E-3</v>
      </c>
      <c r="AI67" s="36">
        <v>0</v>
      </c>
      <c r="AJ67" s="35">
        <v>1E-3</v>
      </c>
      <c r="AK67" s="36">
        <v>0</v>
      </c>
      <c r="AL67" s="36">
        <v>0</v>
      </c>
      <c r="AM67" s="35">
        <v>1E-3</v>
      </c>
      <c r="AN67" s="36">
        <v>0</v>
      </c>
      <c r="AO67" s="35">
        <v>0.5</v>
      </c>
      <c r="AP67" s="35">
        <v>0.5</v>
      </c>
    </row>
    <row r="68" spans="32:42" x14ac:dyDescent="0.25">
      <c r="AF68" s="1" t="s">
        <v>155</v>
      </c>
      <c r="AG68" s="36">
        <v>0</v>
      </c>
      <c r="AH68" s="35">
        <v>1E-3</v>
      </c>
      <c r="AI68" s="36">
        <v>0</v>
      </c>
      <c r="AJ68" s="35">
        <v>1E-3</v>
      </c>
      <c r="AK68" s="36">
        <v>0</v>
      </c>
      <c r="AL68" s="36">
        <v>0</v>
      </c>
      <c r="AM68" s="35">
        <v>1</v>
      </c>
      <c r="AN68" s="36">
        <v>0</v>
      </c>
      <c r="AO68" s="35">
        <v>2</v>
      </c>
      <c r="AP68" s="35">
        <v>2</v>
      </c>
    </row>
    <row r="69" spans="32:42" x14ac:dyDescent="0.25">
      <c r="AF69" s="1" t="s">
        <v>87</v>
      </c>
      <c r="AG69" s="36">
        <v>0</v>
      </c>
      <c r="AH69" s="35">
        <v>1E-3</v>
      </c>
      <c r="AI69" s="36">
        <v>0</v>
      </c>
      <c r="AJ69" s="35">
        <v>1</v>
      </c>
      <c r="AK69" s="36">
        <v>0</v>
      </c>
      <c r="AL69" s="36">
        <v>0</v>
      </c>
      <c r="AM69" s="35">
        <v>1</v>
      </c>
      <c r="AN69" s="36">
        <v>0</v>
      </c>
      <c r="AO69" s="35">
        <v>1</v>
      </c>
      <c r="AP69" s="35">
        <v>1</v>
      </c>
    </row>
    <row r="70" spans="32:42" x14ac:dyDescent="0.25">
      <c r="AF70" s="1" t="s">
        <v>156</v>
      </c>
      <c r="AG70" s="36">
        <v>0</v>
      </c>
      <c r="AH70" s="35">
        <v>1E-3</v>
      </c>
      <c r="AI70" s="36">
        <v>0</v>
      </c>
      <c r="AJ70" s="35">
        <v>1E-3</v>
      </c>
      <c r="AK70" s="36">
        <v>0</v>
      </c>
      <c r="AL70" s="36">
        <v>0</v>
      </c>
      <c r="AM70" s="35">
        <v>1</v>
      </c>
      <c r="AN70" s="36">
        <v>0</v>
      </c>
      <c r="AO70" s="35">
        <v>1</v>
      </c>
      <c r="AP70" s="35">
        <v>1</v>
      </c>
    </row>
    <row r="71" spans="32:42" x14ac:dyDescent="0.25">
      <c r="AF71" s="1" t="s">
        <v>157</v>
      </c>
      <c r="AG71" s="36">
        <v>0</v>
      </c>
      <c r="AH71" s="35">
        <v>1E-3</v>
      </c>
      <c r="AI71" s="36">
        <v>0</v>
      </c>
      <c r="AJ71" s="35">
        <v>1E-3</v>
      </c>
      <c r="AK71" s="35">
        <v>1</v>
      </c>
      <c r="AL71" s="36">
        <v>0</v>
      </c>
      <c r="AM71" s="35">
        <v>1E-3</v>
      </c>
      <c r="AN71" s="36">
        <v>0</v>
      </c>
      <c r="AO71" s="35">
        <v>1E-3</v>
      </c>
      <c r="AP71" s="35">
        <v>1E-3</v>
      </c>
    </row>
    <row r="72" spans="32:42" x14ac:dyDescent="0.25">
      <c r="AF72" s="1" t="s">
        <v>158</v>
      </c>
      <c r="AG72" s="36">
        <v>0</v>
      </c>
      <c r="AH72" s="35">
        <v>1E-3</v>
      </c>
      <c r="AI72" s="36">
        <v>0</v>
      </c>
      <c r="AJ72" s="35">
        <v>1E-3</v>
      </c>
      <c r="AK72" s="36">
        <v>0</v>
      </c>
      <c r="AL72" s="36">
        <v>0</v>
      </c>
      <c r="AM72" s="35">
        <v>1</v>
      </c>
      <c r="AN72" s="36">
        <v>0</v>
      </c>
      <c r="AO72" s="35">
        <v>1</v>
      </c>
      <c r="AP72" s="35">
        <v>1</v>
      </c>
    </row>
    <row r="73" spans="32:42" x14ac:dyDescent="0.25">
      <c r="AF73" s="1" t="s">
        <v>159</v>
      </c>
      <c r="AG73" s="36">
        <v>0</v>
      </c>
      <c r="AH73" s="35">
        <v>1E-3</v>
      </c>
      <c r="AI73" s="36">
        <v>0</v>
      </c>
      <c r="AJ73" s="35">
        <v>1E-3</v>
      </c>
      <c r="AK73" s="36">
        <v>0</v>
      </c>
      <c r="AL73" s="36">
        <v>0</v>
      </c>
      <c r="AM73" s="35">
        <v>1E-3</v>
      </c>
      <c r="AN73" s="36">
        <v>0</v>
      </c>
      <c r="AO73" s="35">
        <v>1</v>
      </c>
      <c r="AP73" s="35">
        <v>1</v>
      </c>
    </row>
    <row r="74" spans="32:42" x14ac:dyDescent="0.25">
      <c r="AF74" s="36" t="s">
        <v>160</v>
      </c>
      <c r="AG74" s="36">
        <v>0</v>
      </c>
      <c r="AH74" s="35">
        <v>20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</row>
    <row r="75" spans="32:42" x14ac:dyDescent="0.25">
      <c r="AF75" s="36" t="s">
        <v>161</v>
      </c>
      <c r="AG75" s="36">
        <v>0</v>
      </c>
      <c r="AH75" s="35">
        <v>10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</row>
    <row r="76" spans="32:42" x14ac:dyDescent="0.25">
      <c r="AF76" s="36" t="s">
        <v>162</v>
      </c>
      <c r="AG76" s="36">
        <v>0</v>
      </c>
      <c r="AH76" s="35">
        <v>6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</row>
    <row r="77" spans="32:42" x14ac:dyDescent="0.25">
      <c r="AF77" s="36" t="s">
        <v>163</v>
      </c>
      <c r="AG77" s="36">
        <v>0</v>
      </c>
      <c r="AH77" s="35">
        <v>4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</row>
  </sheetData>
  <protectedRanges>
    <protectedRange password="EEDA" sqref="Q1:S4" name="Multiup Calculator" securityDescriptor="O:WDG:WDD:(A;;CC;;;S-1-5-21-1529051984-3950248444-2322824711-1122)(A;;CC;;;S-1-5-21-1529051984-3950248444-2322824711-1129)(A;;CC;;;S-1-5-21-1529051984-3950248444-2322824711-1128)(A;;CC;;;S-1-5-21-1529051984-3950248444-2322824711-1127)"/>
    <protectedRange password="EEDA" sqref="AF2:AF73" name="Range6"/>
    <protectedRange password="EEDA" sqref="AF74:AF77" name="Range6_1"/>
  </protectedRange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'L:\FiveMaplesSales\PRICES\Pricing working files\[Prices 2.0 June 2018 working copy.xlsm]Print Times'!#REF!</xm:f>
          </x14:formula1>
          <xm:sqref>AD2</xm:sqref>
        </x14:dataValidation>
        <x14:dataValidation type="list" allowBlank="1" showInputMessage="1" showErrorMessage="1">
          <x14:formula1>
            <xm:f>'L:\FiveMaplesSales\PRICES\Pricing working files\[Prices 2.0 June 2018 working copy.xlsm]Print Times'!#REF!</xm:f>
          </x14:formula1>
          <xm:sqref>AD3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5"/>
  <sheetViews>
    <sheetView topLeftCell="A10" zoomScale="85" zoomScaleNormal="85" workbookViewId="0">
      <selection activeCell="F25" sqref="F25:O45"/>
    </sheetView>
  </sheetViews>
  <sheetFormatPr defaultRowHeight="15" x14ac:dyDescent="0.25"/>
  <cols>
    <col min="1" max="1" width="12.140625" style="40" customWidth="1"/>
    <col min="2" max="4" width="11.5703125" style="40" customWidth="1"/>
    <col min="5" max="5" width="35.7109375" style="41" customWidth="1"/>
    <col min="6" max="6" width="16.28515625" style="40" customWidth="1"/>
    <col min="7" max="7" width="13.140625" style="40" customWidth="1"/>
    <col min="8" max="8" width="18.28515625" style="40" customWidth="1"/>
    <col min="9" max="9" width="12.140625" style="40" customWidth="1"/>
    <col min="10" max="10" width="18.28515625" style="40" customWidth="1"/>
    <col min="11" max="11" width="17.140625" style="40" customWidth="1"/>
    <col min="12" max="12" width="14.42578125" style="40" customWidth="1"/>
    <col min="13" max="13" width="17.140625" style="40" customWidth="1"/>
    <col min="14" max="15" width="12.5703125" style="40" customWidth="1"/>
    <col min="16" max="16384" width="9.140625" style="40"/>
  </cols>
  <sheetData>
    <row r="1" spans="1:15" x14ac:dyDescent="0.25">
      <c r="A1" s="300" t="s">
        <v>165</v>
      </c>
      <c r="B1" s="300"/>
      <c r="C1" s="300"/>
      <c r="D1" s="300"/>
      <c r="E1" s="35" t="s">
        <v>166</v>
      </c>
      <c r="F1" s="299" t="s">
        <v>85</v>
      </c>
      <c r="G1" s="299"/>
      <c r="H1" s="38" t="s">
        <v>86</v>
      </c>
      <c r="I1" s="38" t="s">
        <v>87</v>
      </c>
      <c r="J1" s="38" t="s">
        <v>88</v>
      </c>
      <c r="K1" s="299" t="s">
        <v>167</v>
      </c>
      <c r="L1" s="299"/>
      <c r="M1" s="299" t="s">
        <v>92</v>
      </c>
      <c r="N1" s="299"/>
      <c r="O1" s="38" t="s">
        <v>93</v>
      </c>
    </row>
    <row r="2" spans="1:15" x14ac:dyDescent="0.25">
      <c r="A2" s="83" t="s">
        <v>168</v>
      </c>
      <c r="B2" s="83" t="s">
        <v>90</v>
      </c>
      <c r="C2" s="83" t="s">
        <v>92</v>
      </c>
      <c r="D2" s="83" t="s">
        <v>93</v>
      </c>
      <c r="E2" s="84" t="s">
        <v>166</v>
      </c>
      <c r="F2" s="83" t="s">
        <v>84</v>
      </c>
      <c r="G2" s="83" t="s">
        <v>85</v>
      </c>
      <c r="H2" s="85" t="s">
        <v>86</v>
      </c>
      <c r="I2" s="86" t="s">
        <v>169</v>
      </c>
      <c r="J2" s="85" t="s">
        <v>88</v>
      </c>
      <c r="K2" s="85" t="s">
        <v>89</v>
      </c>
      <c r="L2" s="85" t="s">
        <v>167</v>
      </c>
      <c r="M2" s="85" t="s">
        <v>91</v>
      </c>
      <c r="N2" s="83" t="s">
        <v>172</v>
      </c>
      <c r="O2" s="83" t="s">
        <v>173</v>
      </c>
    </row>
    <row r="3" spans="1:15" x14ac:dyDescent="0.25">
      <c r="A3" s="39" t="str">
        <f>IF('[1]House Papers'!$H3="","", '[1]House Papers'!$H3)</f>
        <v/>
      </c>
      <c r="B3" s="39" t="str">
        <f>IF('[1]House Papers'!$I3="","", '[1]House Papers'!$I3)</f>
        <v/>
      </c>
      <c r="C3" s="39" t="str">
        <f>IF('[1]House Papers'!$J3="","", '[1]House Papers'!$J3)</f>
        <v/>
      </c>
      <c r="D3" s="39" t="str">
        <f>IF('[1]House Papers'!$K3="","", '[1]House Papers'!$K3)</f>
        <v/>
      </c>
      <c r="E3" s="39" t="str">
        <f>IF('[1]House Papers'!$L3="","", '[1]House Papers'!$L3)</f>
        <v>20# white copy paper</v>
      </c>
      <c r="F3" s="45">
        <f>IF('[1]House Papers'!$M3="",0, '[1]House Papers'!$M3)</f>
        <v>0</v>
      </c>
      <c r="G3" s="45">
        <f>IF('[1]House Papers'!$N3="",0, '[1]House Papers'!$N3)</f>
        <v>7.04</v>
      </c>
      <c r="H3" s="45">
        <f>IF('[1]House Papers'!$O3="",0, '[1]House Papers'!$O3)</f>
        <v>0</v>
      </c>
      <c r="I3" s="45">
        <f>IF('[1]House Papers'!$P3="",0, '[1]House Papers'!$P3)</f>
        <v>0</v>
      </c>
      <c r="J3" s="45">
        <f>IF('[1]House Papers'!$Q3="",0, '[1]House Papers'!$Q3)</f>
        <v>0</v>
      </c>
      <c r="K3" s="45">
        <f>IF('[1]House Papers'!$R3="",0, '[1]House Papers'!$R3)</f>
        <v>0</v>
      </c>
      <c r="L3" s="45">
        <f>IF('[1]House Papers'!$S3="",0, '[1]House Papers'!$S3)</f>
        <v>0</v>
      </c>
      <c r="M3" s="45">
        <f>IF('[1]House Papers'!$T3="",0, '[1]House Papers'!$T3)</f>
        <v>0</v>
      </c>
      <c r="N3" s="45">
        <f>IF('[1]House Papers'!$U3="",0, '[1]House Papers'!$U3)</f>
        <v>0</v>
      </c>
      <c r="O3" s="45">
        <f>IF('[1]House Papers'!$V3="",0, '[1]House Papers'!$V3)</f>
        <v>0</v>
      </c>
    </row>
    <row r="4" spans="1:15" x14ac:dyDescent="0.25">
      <c r="A4" s="39" t="str">
        <f>IF('[1]House Papers'!$H4="","", '[1]House Papers'!$H4)</f>
        <v>x</v>
      </c>
      <c r="B4" s="39" t="str">
        <f>IF('[1]House Papers'!$I4="","", '[1]House Papers'!$I4)</f>
        <v>x</v>
      </c>
      <c r="C4" s="39" t="str">
        <f>IF('[1]House Papers'!$J4="","", '[1]House Papers'!$J4)</f>
        <v/>
      </c>
      <c r="D4" s="39" t="str">
        <f>IF('[1]House Papers'!$K4="","", '[1]House Papers'!$K4)</f>
        <v/>
      </c>
      <c r="E4" s="39" t="str">
        <f>IF('[1]House Papers'!$L4="","", '[1]House Papers'!$L4)</f>
        <v>60# Suzano Report white</v>
      </c>
      <c r="F4" s="45">
        <f>IF('[1]House Papers'!$M4="",0, '[1]House Papers'!$M4)</f>
        <v>0</v>
      </c>
      <c r="G4" s="45">
        <f>IF('[1]House Papers'!$N4="",0, '[1]House Papers'!$N4)</f>
        <v>39.4</v>
      </c>
      <c r="H4" s="45">
        <f>IF('[1]House Papers'!$O4="",0, '[1]House Papers'!$O4)</f>
        <v>0</v>
      </c>
      <c r="I4" s="45">
        <f>IF('[1]House Papers'!$P4="",0, '[1]House Papers'!$P4)</f>
        <v>0</v>
      </c>
      <c r="J4" s="45">
        <f>IF('[1]House Papers'!$Q4="",0, '[1]House Papers'!$Q4)</f>
        <v>0</v>
      </c>
      <c r="K4" s="45">
        <f>IF('[1]House Papers'!$R4="",0, '[1]House Papers'!$R4)</f>
        <v>0</v>
      </c>
      <c r="L4" s="45">
        <f>IF('[1]House Papers'!$S4="",0, '[1]House Papers'!$S4)</f>
        <v>65.7</v>
      </c>
      <c r="M4" s="45">
        <f>IF('[1]House Papers'!$T4="",0, '[1]House Papers'!$T4)</f>
        <v>0</v>
      </c>
      <c r="N4" s="45">
        <f>IF('[1]House Papers'!$U4="",0, '[1]House Papers'!$U4)</f>
        <v>0</v>
      </c>
      <c r="O4" s="45">
        <f>IF('[1]House Papers'!$V4="",0, '[1]House Papers'!$V4)</f>
        <v>0</v>
      </c>
    </row>
    <row r="5" spans="1:15" x14ac:dyDescent="0.25">
      <c r="A5" s="39" t="str">
        <f>IF('[1]House Papers'!$H5="","", '[1]House Papers'!$H5)</f>
        <v>x</v>
      </c>
      <c r="B5" s="39" t="str">
        <f>IF('[1]House Papers'!$I5="","", '[1]House Papers'!$I5)</f>
        <v/>
      </c>
      <c r="C5" s="39" t="str">
        <f>IF('[1]House Papers'!$J5="","", '[1]House Papers'!$J5)</f>
        <v/>
      </c>
      <c r="D5" s="39" t="str">
        <f>IF('[1]House Papers'!$K5="","", '[1]House Papers'!$K5)</f>
        <v/>
      </c>
      <c r="E5" s="39" t="str">
        <f>IF('[1]House Papers'!$L5="","", '[1]House Papers'!$L5)</f>
        <v>8.5 x 11 - 3.5" perf, 60# white</v>
      </c>
      <c r="F5" s="45">
        <f>IF('[1]House Papers'!$M5="",0, '[1]House Papers'!$M5)</f>
        <v>0</v>
      </c>
      <c r="G5" s="45">
        <f>IF('[1]House Papers'!$N5="",0, '[1]House Papers'!$N5)</f>
        <v>0</v>
      </c>
      <c r="H5" s="45">
        <f>IF('[1]House Papers'!$O5="",0, '[1]House Papers'!$O5)</f>
        <v>17.59</v>
      </c>
      <c r="I5" s="45">
        <f>IF('[1]House Papers'!$P5="",0, '[1]House Papers'!$P5)</f>
        <v>0</v>
      </c>
      <c r="J5" s="45">
        <f>IF('[1]House Papers'!$Q5="",0, '[1]House Papers'!$Q5)</f>
        <v>0</v>
      </c>
      <c r="K5" s="45">
        <f>IF('[1]House Papers'!$R5="",0, '[1]House Papers'!$R5)</f>
        <v>0</v>
      </c>
      <c r="L5" s="45">
        <f>IF('[1]House Papers'!$S5="",0, '[1]House Papers'!$S5)</f>
        <v>0</v>
      </c>
      <c r="M5" s="45">
        <f>IF('[1]House Papers'!$T5="",0, '[1]House Papers'!$T5)</f>
        <v>0</v>
      </c>
      <c r="N5" s="45">
        <f>IF('[1]House Papers'!$U5="",0, '[1]House Papers'!$U5)</f>
        <v>0</v>
      </c>
      <c r="O5" s="45">
        <f>IF('[1]House Papers'!$V5="",0, '[1]House Papers'!$V5)</f>
        <v>0</v>
      </c>
    </row>
    <row r="6" spans="1:15" x14ac:dyDescent="0.25">
      <c r="A6" s="39" t="str">
        <f>IF('[1]House Papers'!$H6="","", '[1]House Papers'!$H6)</f>
        <v/>
      </c>
      <c r="B6" s="39" t="str">
        <f>IF('[1]House Papers'!$I6="","", '[1]House Papers'!$I6)</f>
        <v/>
      </c>
      <c r="C6" s="39" t="str">
        <f>IF('[1]House Papers'!$J6="","", '[1]House Papers'!$J6)</f>
        <v/>
      </c>
      <c r="D6" s="39" t="str">
        <f>IF('[1]House Papers'!$K6="","", '[1]House Papers'!$K6)</f>
        <v/>
      </c>
      <c r="E6" s="39" t="str">
        <f>IF('[1]House Papers'!$L6="","", '[1]House Papers'!$L6)</f>
        <v>8.5x14 60# Accent Opaque white</v>
      </c>
      <c r="F6" s="45">
        <f>IF('[1]House Papers'!$M6="",0, '[1]House Papers'!$M6)</f>
        <v>0</v>
      </c>
      <c r="G6" s="45">
        <f>IF('[1]House Papers'!$N6="",0, '[1]House Papers'!$N6)</f>
        <v>0</v>
      </c>
      <c r="H6" s="45">
        <f>IF('[1]House Papers'!$O6="",0, '[1]House Papers'!$O6)</f>
        <v>0</v>
      </c>
      <c r="I6" s="45">
        <f>IF('[1]House Papers'!$P6="",0, '[1]House Papers'!$P6)</f>
        <v>121.5</v>
      </c>
      <c r="J6" s="45">
        <f>IF('[1]House Papers'!$Q6="",0, '[1]House Papers'!$Q6)</f>
        <v>0</v>
      </c>
      <c r="K6" s="45">
        <f>IF('[1]House Papers'!$R6="",0, '[1]House Papers'!$R6)</f>
        <v>0</v>
      </c>
      <c r="L6" s="45">
        <f>IF('[1]House Papers'!$S6="",0, '[1]House Papers'!$S6)</f>
        <v>0</v>
      </c>
      <c r="M6" s="45">
        <f>IF('[1]House Papers'!$T6="",0, '[1]House Papers'!$T6)</f>
        <v>0</v>
      </c>
      <c r="N6" s="45">
        <f>IF('[1]House Papers'!$U6="",0, '[1]House Papers'!$U6)</f>
        <v>0</v>
      </c>
      <c r="O6" s="45">
        <f>IF('[1]House Papers'!$V6="",0, '[1]House Papers'!$V6)</f>
        <v>0</v>
      </c>
    </row>
    <row r="7" spans="1:15" x14ac:dyDescent="0.25">
      <c r="A7" s="39" t="str">
        <f>IF('[1]House Papers'!$H7="","", '[1]House Papers'!$H7)</f>
        <v/>
      </c>
      <c r="B7" s="39" t="str">
        <f>IF('[1]House Papers'!$I7="","", '[1]House Papers'!$I7)</f>
        <v/>
      </c>
      <c r="C7" s="39" t="str">
        <f>IF('[1]House Papers'!$J7="","", '[1]House Papers'!$J7)</f>
        <v/>
      </c>
      <c r="D7" s="39" t="str">
        <f>IF('[1]House Papers'!$K7="","", '[1]House Papers'!$K7)</f>
        <v/>
      </c>
      <c r="E7" s="39" t="str">
        <f>IF('[1]House Papers'!$L7="","", '[1]House Papers'!$L7)</f>
        <v>8.5 x 14 - 3.5" perf, 60# white</v>
      </c>
      <c r="F7" s="45">
        <f>IF('[1]House Papers'!$M7="",0, '[1]House Papers'!$M7)</f>
        <v>0</v>
      </c>
      <c r="G7" s="45">
        <f>IF('[1]House Papers'!$N7="",0, '[1]House Papers'!$N7)</f>
        <v>0</v>
      </c>
      <c r="H7" s="45">
        <f>IF('[1]House Papers'!$O7="",0, '[1]House Papers'!$O7)</f>
        <v>0</v>
      </c>
      <c r="I7" s="45">
        <f>IF('[1]House Papers'!$P7="",0, '[1]House Papers'!$P7)</f>
        <v>0</v>
      </c>
      <c r="J7" s="45">
        <f>IF('[1]House Papers'!$Q7="",0, '[1]House Papers'!$Q7)</f>
        <v>23.74</v>
      </c>
      <c r="K7" s="45">
        <f>IF('[1]House Papers'!$R7="",0, '[1]House Papers'!$R7)</f>
        <v>0</v>
      </c>
      <c r="L7" s="45">
        <f>IF('[1]House Papers'!$S7="",0, '[1]House Papers'!$S7)</f>
        <v>0</v>
      </c>
      <c r="M7" s="45">
        <f>IF('[1]House Papers'!$T7="",0, '[1]House Papers'!$T7)</f>
        <v>0</v>
      </c>
      <c r="N7" s="45">
        <f>IF('[1]House Papers'!$U7="",0, '[1]House Papers'!$U7)</f>
        <v>0</v>
      </c>
      <c r="O7" s="45">
        <f>IF('[1]House Papers'!$V7="",0, '[1]House Papers'!$V7)</f>
        <v>0</v>
      </c>
    </row>
    <row r="8" spans="1:15" x14ac:dyDescent="0.25">
      <c r="A8" s="39" t="str">
        <f>IF('[1]House Papers'!$H8="","", '[1]House Papers'!$H8)</f>
        <v/>
      </c>
      <c r="B8" s="39" t="str">
        <f>IF('[1]House Papers'!$I8="","", '[1]House Papers'!$I8)</f>
        <v>x</v>
      </c>
      <c r="C8" s="39" t="str">
        <f>IF('[1]House Papers'!$J8="","", '[1]House Papers'!$J8)</f>
        <v/>
      </c>
      <c r="D8" s="39" t="str">
        <f>IF('[1]House Papers'!$K8="","", '[1]House Papers'!$K8)</f>
        <v/>
      </c>
      <c r="E8" s="39" t="str">
        <f>IF('[1]House Papers'!$L8="","", '[1]House Papers'!$L8)</f>
        <v>60# Springhill opaque colors</v>
      </c>
      <c r="F8" s="45">
        <f>IF('[1]House Papers'!$M8="",0, '[1]House Papers'!$M8)</f>
        <v>0</v>
      </c>
      <c r="G8" s="45">
        <f>IF('[1]House Papers'!$N8="",0, '[1]House Papers'!$N8)</f>
        <v>0</v>
      </c>
      <c r="H8" s="45">
        <f>IF('[1]House Papers'!$O8="",0, '[1]House Papers'!$O8)</f>
        <v>0</v>
      </c>
      <c r="I8" s="45">
        <f>IF('[1]House Papers'!$P8="",0, '[1]House Papers'!$P8)</f>
        <v>0</v>
      </c>
      <c r="J8" s="45">
        <f>IF('[1]House Papers'!$Q8="",0, '[1]House Papers'!$Q8)</f>
        <v>0</v>
      </c>
      <c r="K8" s="45">
        <f>IF('[1]House Papers'!$R8="",0, '[1]House Papers'!$R8)</f>
        <v>0</v>
      </c>
      <c r="L8" s="45">
        <f>IF('[1]House Papers'!$S8="",0, '[1]House Papers'!$S8)</f>
        <v>37.85</v>
      </c>
      <c r="M8" s="45">
        <f>IF('[1]House Papers'!$T8="",0, '[1]House Papers'!$T8)</f>
        <v>0</v>
      </c>
      <c r="N8" s="45">
        <f>IF('[1]House Papers'!$U8="",0, '[1]House Papers'!$U8)</f>
        <v>0</v>
      </c>
      <c r="O8" s="45">
        <f>IF('[1]House Papers'!$V8="",0, '[1]House Papers'!$V8)</f>
        <v>0</v>
      </c>
    </row>
    <row r="9" spans="1:15" x14ac:dyDescent="0.25">
      <c r="A9" s="39" t="str">
        <f>IF('[1]House Papers'!$H9="","", '[1]House Papers'!$H9)</f>
        <v/>
      </c>
      <c r="B9" s="39" t="str">
        <f>IF('[1]House Papers'!$I9="","", '[1]House Papers'!$I9)</f>
        <v>x</v>
      </c>
      <c r="C9" s="39" t="str">
        <f>IF('[1]House Papers'!$J9="","", '[1]House Papers'!$J9)</f>
        <v/>
      </c>
      <c r="D9" s="39" t="str">
        <f>IF('[1]House Papers'!$K9="","", '[1]House Papers'!$K9)</f>
        <v/>
      </c>
      <c r="E9" s="39" t="str">
        <f>IF('[1]House Papers'!$L9="","", '[1]House Papers'!$L9)</f>
        <v>70# Springhill opaque colors</v>
      </c>
      <c r="F9" s="45">
        <f>IF('[1]House Papers'!$M9="",0, '[1]House Papers'!$M9)</f>
        <v>0</v>
      </c>
      <c r="G9" s="45">
        <f>IF('[1]House Papers'!$N9="",0, '[1]House Papers'!$N9)</f>
        <v>0</v>
      </c>
      <c r="H9" s="45">
        <f>IF('[1]House Papers'!$O9="",0, '[1]House Papers'!$O9)</f>
        <v>0</v>
      </c>
      <c r="I9" s="45">
        <f>IF('[1]House Papers'!$P9="",0, '[1]House Papers'!$P9)</f>
        <v>0</v>
      </c>
      <c r="J9" s="45">
        <f>IF('[1]House Papers'!$Q9="",0, '[1]House Papers'!$Q9)</f>
        <v>0</v>
      </c>
      <c r="K9" s="45">
        <f>IF('[1]House Papers'!$R9="",0, '[1]House Papers'!$R9)</f>
        <v>0</v>
      </c>
      <c r="L9" s="45">
        <f>IF('[1]House Papers'!$S9="",0, '[1]House Papers'!$S9)</f>
        <v>33.75</v>
      </c>
      <c r="M9" s="45">
        <f>IF('[1]House Papers'!$T9="",0, '[1]House Papers'!$T9)</f>
        <v>0</v>
      </c>
      <c r="N9" s="45">
        <f>IF('[1]House Papers'!$U9="",0, '[1]House Papers'!$U9)</f>
        <v>0</v>
      </c>
      <c r="O9" s="45">
        <f>IF('[1]House Papers'!$V9="",0, '[1]House Papers'!$V9)</f>
        <v>0</v>
      </c>
    </row>
    <row r="10" spans="1:15" x14ac:dyDescent="0.25">
      <c r="A10" s="39" t="str">
        <f>IF('[1]House Papers'!$H10="","", '[1]House Papers'!$H10)</f>
        <v/>
      </c>
      <c r="B10" s="39" t="str">
        <f>IF('[1]House Papers'!$I10="","", '[1]House Papers'!$I10)</f>
        <v>x</v>
      </c>
      <c r="C10" s="39" t="str">
        <f>IF('[1]House Papers'!$J10="","", '[1]House Papers'!$J10)</f>
        <v>x</v>
      </c>
      <c r="D10" s="39" t="str">
        <f>IF('[1]House Papers'!$K10="","", '[1]House Papers'!$K10)</f>
        <v>x</v>
      </c>
      <c r="E10" s="39" t="str">
        <f>IF('[1]House Papers'!$L10="","", '[1]House Papers'!$L10)</f>
        <v>70# Finch Digital Opaque white</v>
      </c>
      <c r="F10" s="45">
        <f>IF('[1]House Papers'!$M10="",0, '[1]House Papers'!$M10)</f>
        <v>0</v>
      </c>
      <c r="G10" s="45">
        <f>IF('[1]House Papers'!$N10="",0, '[1]House Papers'!$N10)</f>
        <v>0</v>
      </c>
      <c r="H10" s="45">
        <f>IF('[1]House Papers'!$O10="",0, '[1]House Papers'!$O10)</f>
        <v>0</v>
      </c>
      <c r="I10" s="45">
        <f>IF('[1]House Papers'!$P10="",0, '[1]House Papers'!$P10)</f>
        <v>0</v>
      </c>
      <c r="J10" s="45">
        <f>IF('[1]House Papers'!$Q10="",0, '[1]House Papers'!$Q10)</f>
        <v>0</v>
      </c>
      <c r="K10" s="45">
        <f>IF('[1]House Papers'!$R10="",0, '[1]House Papers'!$R10)</f>
        <v>0</v>
      </c>
      <c r="L10" s="45">
        <f>IF('[1]House Papers'!$S10="",0, '[1]House Papers'!$S10)</f>
        <v>27.24</v>
      </c>
      <c r="M10" s="45">
        <f>IF('[1]House Papers'!$T10="",0, '[1]House Papers'!$T10)</f>
        <v>0</v>
      </c>
      <c r="N10" s="45">
        <f>IF('[1]House Papers'!$U10="",0, '[1]House Papers'!$U10)</f>
        <v>34.32</v>
      </c>
      <c r="O10" s="45">
        <f>IF('[1]House Papers'!$V10="",0, '[1]House Papers'!$V10)</f>
        <v>40.090000000000003</v>
      </c>
    </row>
    <row r="11" spans="1:15" x14ac:dyDescent="0.25">
      <c r="A11" s="39" t="str">
        <f>IF('[1]House Papers'!$H11="","", '[1]House Papers'!$H11)</f>
        <v/>
      </c>
      <c r="B11" s="39" t="str">
        <f>IF('[1]House Papers'!$I11="","", '[1]House Papers'!$I11)</f>
        <v>x</v>
      </c>
      <c r="C11" s="39" t="str">
        <f>IF('[1]House Papers'!$J11="","", '[1]House Papers'!$J11)</f>
        <v>x</v>
      </c>
      <c r="D11" s="39" t="str">
        <f>IF('[1]House Papers'!$K11="","", '[1]House Papers'!$K11)</f>
        <v/>
      </c>
      <c r="E11" s="39" t="str">
        <f>IF('[1]House Papers'!$L11="","", '[1]House Papers'!$L11)</f>
        <v>70# Roland 30% Recycle white</v>
      </c>
      <c r="F11" s="45">
        <f>IF('[1]House Papers'!$M11="",0, '[1]House Papers'!$M11)</f>
        <v>0</v>
      </c>
      <c r="G11" s="45">
        <f>IF('[1]House Papers'!$N11="",0, '[1]House Papers'!$N11)</f>
        <v>0</v>
      </c>
      <c r="H11" s="45">
        <f>IF('[1]House Papers'!$O11="",0, '[1]House Papers'!$O11)</f>
        <v>0</v>
      </c>
      <c r="I11" s="45">
        <f>IF('[1]House Papers'!$P11="",0, '[1]House Papers'!$P11)</f>
        <v>0</v>
      </c>
      <c r="J11" s="45">
        <f>IF('[1]House Papers'!$Q11="",0, '[1]House Papers'!$Q11)</f>
        <v>0</v>
      </c>
      <c r="K11" s="45">
        <f>IF('[1]House Papers'!$R11="",0, '[1]House Papers'!$R11)</f>
        <v>0</v>
      </c>
      <c r="L11" s="45">
        <f>IF('[1]House Papers'!$S11="",0, '[1]House Papers'!$S11)</f>
        <v>77.25</v>
      </c>
      <c r="M11" s="45">
        <f>IF('[1]House Papers'!$T11="",0, '[1]House Papers'!$T11)</f>
        <v>0</v>
      </c>
      <c r="N11" s="45">
        <f>IF('[1]House Papers'!$U11="",0, '[1]House Papers'!$U11)</f>
        <v>55.7</v>
      </c>
      <c r="O11" s="45">
        <f>IF('[1]House Papers'!$V11="",0, '[1]House Papers'!$V11)</f>
        <v>0</v>
      </c>
    </row>
    <row r="12" spans="1:15" x14ac:dyDescent="0.25">
      <c r="A12" s="39" t="str">
        <f>IF('[1]House Papers'!$H12="","", '[1]House Papers'!$H12)</f>
        <v/>
      </c>
      <c r="B12" s="39" t="str">
        <f>IF('[1]House Papers'!$I12="","", '[1]House Papers'!$I12)</f>
        <v/>
      </c>
      <c r="C12" s="39" t="str">
        <f>IF('[1]House Papers'!$J12="","", '[1]House Papers'!$J12)</f>
        <v>x</v>
      </c>
      <c r="D12" s="39" t="str">
        <f>IF('[1]House Papers'!$K12="","", '[1]House Papers'!$K12)</f>
        <v>x</v>
      </c>
      <c r="E12" s="39" t="str">
        <f>IF('[1]House Papers'!$L12="","", '[1]House Papers'!$L12)</f>
        <v>70# Finch Fine ID</v>
      </c>
      <c r="F12" s="45">
        <f>IF('[1]House Papers'!$M12="",0, '[1]House Papers'!$M12)</f>
        <v>0</v>
      </c>
      <c r="G12" s="45">
        <f>IF('[1]House Papers'!$N12="",0, '[1]House Papers'!$N12)</f>
        <v>0</v>
      </c>
      <c r="H12" s="45">
        <f>IF('[1]House Papers'!$O12="",0, '[1]House Papers'!$O12)</f>
        <v>0</v>
      </c>
      <c r="I12" s="45">
        <f>IF('[1]House Papers'!$P12="",0, '[1]House Papers'!$P12)</f>
        <v>0</v>
      </c>
      <c r="J12" s="45">
        <f>IF('[1]House Papers'!$Q12="",0, '[1]House Papers'!$Q12)</f>
        <v>0</v>
      </c>
      <c r="K12" s="45">
        <f>IF('[1]House Papers'!$R12="",0, '[1]House Papers'!$R12)</f>
        <v>0</v>
      </c>
      <c r="L12" s="45">
        <f>IF('[1]House Papers'!$S12="",0, '[1]House Papers'!$S12)</f>
        <v>0</v>
      </c>
      <c r="M12" s="45">
        <f>IF('[1]House Papers'!$T12="",0, '[1]House Papers'!$T12)</f>
        <v>0</v>
      </c>
      <c r="N12" s="45">
        <f>IF('[1]House Papers'!$U12="",0, '[1]House Papers'!$U12)</f>
        <v>45.67</v>
      </c>
      <c r="O12" s="45">
        <f>IF('[1]House Papers'!$V12="",0, '[1]House Papers'!$V12)</f>
        <v>54.6</v>
      </c>
    </row>
    <row r="13" spans="1:15" x14ac:dyDescent="0.25">
      <c r="A13" s="39" t="str">
        <f>IF('[1]House Papers'!$H13="","", '[1]House Papers'!$H13)</f>
        <v/>
      </c>
      <c r="B13" s="39" t="str">
        <f>IF('[1]House Papers'!$I13="","", '[1]House Papers'!$I13)</f>
        <v>x</v>
      </c>
      <c r="C13" s="39" t="str">
        <f>IF('[1]House Papers'!$J13="","", '[1]House Papers'!$J13)</f>
        <v>x</v>
      </c>
      <c r="D13" s="39" t="str">
        <f>IF('[1]House Papers'!$K13="","", '[1]House Papers'!$K13)</f>
        <v/>
      </c>
      <c r="E13" s="39" t="str">
        <f>IF('[1]House Papers'!$L13="","", '[1]House Papers'!$L13)</f>
        <v>70# Cougar Opaque white text</v>
      </c>
      <c r="F13" s="45">
        <f>IF('[1]House Papers'!$M13="",0, '[1]House Papers'!$M13)</f>
        <v>0</v>
      </c>
      <c r="G13" s="45">
        <f>IF('[1]House Papers'!$N13="",0, '[1]House Papers'!$N13)</f>
        <v>0</v>
      </c>
      <c r="H13" s="45">
        <f>IF('[1]House Papers'!$O13="",0, '[1]House Papers'!$O13)</f>
        <v>0</v>
      </c>
      <c r="I13" s="45">
        <f>IF('[1]House Papers'!$P13="",0, '[1]House Papers'!$P13)</f>
        <v>0</v>
      </c>
      <c r="J13" s="45">
        <f>IF('[1]House Papers'!$Q13="",0, '[1]House Papers'!$Q13)</f>
        <v>0</v>
      </c>
      <c r="K13" s="45">
        <f>IF('[1]House Papers'!$R13="",0, '[1]House Papers'!$R13)</f>
        <v>0</v>
      </c>
      <c r="L13" s="45">
        <f>IF('[1]House Papers'!$S13="",0, '[1]House Papers'!$S13)</f>
        <v>31.85</v>
      </c>
      <c r="M13" s="45">
        <f>IF('[1]House Papers'!$T13="",0, '[1]House Papers'!$T13)</f>
        <v>0</v>
      </c>
      <c r="N13" s="45">
        <f>IF('[1]House Papers'!$U13="",0, '[1]House Papers'!$U13)</f>
        <v>36.799999999999997</v>
      </c>
      <c r="O13" s="45">
        <f>IF('[1]House Papers'!$V13="",0, '[1]House Papers'!$V13)</f>
        <v>0</v>
      </c>
    </row>
    <row r="14" spans="1:15" x14ac:dyDescent="0.25">
      <c r="A14" s="39" t="str">
        <f>IF('[1]House Papers'!$H14="","", '[1]House Papers'!$H14)</f>
        <v/>
      </c>
      <c r="B14" s="39" t="str">
        <f>IF('[1]House Papers'!$I14="","", '[1]House Papers'!$I14)</f>
        <v>x</v>
      </c>
      <c r="C14" s="39" t="str">
        <f>IF('[1]House Papers'!$J14="","", '[1]House Papers'!$J14)</f>
        <v>x</v>
      </c>
      <c r="D14" s="39" t="str">
        <f>IF('[1]House Papers'!$K14="","", '[1]House Papers'!$K14)</f>
        <v/>
      </c>
      <c r="E14" s="39" t="str">
        <f>IF('[1]House Papers'!$L14="","", '[1]House Papers'!$L14)</f>
        <v>70# Mohawk 100% recycle white</v>
      </c>
      <c r="F14" s="45">
        <f>IF('[1]House Papers'!$M14="",0, '[1]House Papers'!$M14)</f>
        <v>0</v>
      </c>
      <c r="G14" s="45">
        <f>IF('[1]House Papers'!$N14="",0, '[1]House Papers'!$N14)</f>
        <v>0</v>
      </c>
      <c r="H14" s="45">
        <f>IF('[1]House Papers'!$O14="",0, '[1]House Papers'!$O14)</f>
        <v>0</v>
      </c>
      <c r="I14" s="45">
        <f>IF('[1]House Papers'!$P14="",0, '[1]House Papers'!$P14)</f>
        <v>0</v>
      </c>
      <c r="J14" s="45">
        <f>IF('[1]House Papers'!$Q14="",0, '[1]House Papers'!$Q14)</f>
        <v>0</v>
      </c>
      <c r="K14" s="45">
        <f>IF('[1]House Papers'!$R14="",0, '[1]House Papers'!$R14)</f>
        <v>0</v>
      </c>
      <c r="L14" s="45">
        <f>IF('[1]House Papers'!$S14="",0, '[1]House Papers'!$S14)</f>
        <v>40.03</v>
      </c>
      <c r="M14" s="45">
        <f>IF('[1]House Papers'!$T14="",0, '[1]House Papers'!$T14)</f>
        <v>0</v>
      </c>
      <c r="N14" s="45">
        <f>IF('[1]House Papers'!$U14="",0, '[1]House Papers'!$U14)</f>
        <v>46.24</v>
      </c>
      <c r="O14" s="45">
        <f>IF('[1]House Papers'!$V14="",0, '[1]House Papers'!$V14)</f>
        <v>0</v>
      </c>
    </row>
    <row r="15" spans="1:15" x14ac:dyDescent="0.25">
      <c r="A15" s="39" t="str">
        <f>IF('[1]House Papers'!$H15="","", '[1]House Papers'!$H15)</f>
        <v/>
      </c>
      <c r="B15" s="39" t="str">
        <f>IF('[1]House Papers'!$I15="","", '[1]House Papers'!$I15)</f>
        <v>x</v>
      </c>
      <c r="C15" s="39" t="str">
        <f>IF('[1]House Papers'!$J15="","", '[1]House Papers'!$J15)</f>
        <v/>
      </c>
      <c r="D15" s="39" t="str">
        <f>IF('[1]House Papers'!$K15="","", '[1]House Papers'!$K15)</f>
        <v/>
      </c>
      <c r="E15" s="39" t="str">
        <f>IF('[1]House Papers'!$L15="","", '[1]House Papers'!$L15)</f>
        <v>28# Hammermill Color Copy smooth text</v>
      </c>
      <c r="F15" s="45">
        <f>IF('[1]House Papers'!$M15="",0, '[1]House Papers'!$M15)</f>
        <v>0</v>
      </c>
      <c r="G15" s="45">
        <f>IF('[1]House Papers'!$N15="",0, '[1]House Papers'!$N15)</f>
        <v>0</v>
      </c>
      <c r="H15" s="45">
        <f>IF('[1]House Papers'!$O15="",0, '[1]House Papers'!$O15)</f>
        <v>0</v>
      </c>
      <c r="I15" s="45">
        <f>IF('[1]House Papers'!$P15="",0, '[1]House Papers'!$P15)</f>
        <v>0</v>
      </c>
      <c r="J15" s="45">
        <f>IF('[1]House Papers'!$Q15="",0, '[1]House Papers'!$Q15)</f>
        <v>0</v>
      </c>
      <c r="K15" s="45">
        <f>IF('[1]House Papers'!$R15="",0, '[1]House Papers'!$R15)</f>
        <v>0</v>
      </c>
      <c r="L15" s="45">
        <f>IF('[1]House Papers'!$S15="",0, '[1]House Papers'!$S15)</f>
        <v>31.65</v>
      </c>
      <c r="M15" s="45">
        <f>IF('[1]House Papers'!$T15="",0, '[1]House Papers'!$T15)</f>
        <v>0</v>
      </c>
      <c r="N15" s="45">
        <f>IF('[1]House Papers'!$U15="",0, '[1]House Papers'!$U15)</f>
        <v>0</v>
      </c>
      <c r="O15" s="45">
        <f>IF('[1]House Papers'!$V15="",0, '[1]House Papers'!$V15)</f>
        <v>0</v>
      </c>
    </row>
    <row r="16" spans="1:15" x14ac:dyDescent="0.25">
      <c r="A16" s="39" t="str">
        <f>IF('[1]House Papers'!$H16="","", '[1]House Papers'!$H16)</f>
        <v/>
      </c>
      <c r="B16" s="39" t="str">
        <f>IF('[1]House Papers'!$I16="","", '[1]House Papers'!$I16)</f>
        <v>x</v>
      </c>
      <c r="C16" s="39" t="str">
        <f>IF('[1]House Papers'!$J16="","", '[1]House Papers'!$J16)</f>
        <v>x</v>
      </c>
      <c r="D16" s="39" t="str">
        <f>IF('[1]House Papers'!$K16="","", '[1]House Papers'!$K16)</f>
        <v/>
      </c>
      <c r="E16" s="39" t="str">
        <f>IF('[1]House Papers'!$L16="","", '[1]House Papers'!$L16)</f>
        <v>28# Finch Fine Color Copy</v>
      </c>
      <c r="F16" s="45">
        <f>IF('[1]House Papers'!$M16="",0, '[1]House Papers'!$M16)</f>
        <v>0</v>
      </c>
      <c r="G16" s="45">
        <f>IF('[1]House Papers'!$N16="",0, '[1]House Papers'!$N16)</f>
        <v>0</v>
      </c>
      <c r="H16" s="45">
        <f>IF('[1]House Papers'!$O16="",0, '[1]House Papers'!$O16)</f>
        <v>0</v>
      </c>
      <c r="I16" s="45">
        <f>IF('[1]House Papers'!$P16="",0, '[1]House Papers'!$P16)</f>
        <v>0</v>
      </c>
      <c r="J16" s="45">
        <f>IF('[1]House Papers'!$Q16="",0, '[1]House Papers'!$Q16)</f>
        <v>0</v>
      </c>
      <c r="K16" s="45">
        <f>IF('[1]House Papers'!$R16="",0, '[1]House Papers'!$R16)</f>
        <v>0</v>
      </c>
      <c r="L16" s="45">
        <f>IF('[1]House Papers'!$S16="",0, '[1]House Papers'!$S16)</f>
        <v>36.33</v>
      </c>
      <c r="M16" s="45">
        <f>IF('[1]House Papers'!$T16="",0, '[1]House Papers'!$T16)</f>
        <v>0</v>
      </c>
      <c r="N16" s="45">
        <f>IF('[1]House Papers'!$U16="",0, '[1]House Papers'!$U16)</f>
        <v>41.95</v>
      </c>
      <c r="O16" s="45">
        <f>IF('[1]House Papers'!$V16="",0, '[1]House Papers'!$V16)</f>
        <v>0</v>
      </c>
    </row>
    <row r="17" spans="1:15" x14ac:dyDescent="0.25">
      <c r="A17" s="39" t="str">
        <f>IF('[1]House Papers'!$H17="","", '[1]House Papers'!$H17)</f>
        <v/>
      </c>
      <c r="B17" s="39" t="str">
        <f>IF('[1]House Papers'!$I17="","", '[1]House Papers'!$I17)</f>
        <v/>
      </c>
      <c r="C17" s="39" t="str">
        <f>IF('[1]House Papers'!$J17="","", '[1]House Papers'!$J17)</f>
        <v/>
      </c>
      <c r="D17" s="39" t="str">
        <f>IF('[1]House Papers'!$K17="","", '[1]House Papers'!$K17)</f>
        <v/>
      </c>
      <c r="E17" s="39" t="str">
        <f>IF('[1]House Papers'!$L17="","", '[1]House Papers'!$L17)</f>
        <v>28# Classic Crest Natural white text</v>
      </c>
      <c r="F17" s="45">
        <f>IF('[1]House Papers'!$M17="",0, '[1]House Papers'!$M17)</f>
        <v>0</v>
      </c>
      <c r="G17" s="45">
        <f>IF('[1]House Papers'!$N17="",0, '[1]House Papers'!$N17)</f>
        <v>0</v>
      </c>
      <c r="H17" s="45">
        <f>IF('[1]House Papers'!$O17="",0, '[1]House Papers'!$O17)</f>
        <v>0</v>
      </c>
      <c r="I17" s="45">
        <f>IF('[1]House Papers'!$P17="",0, '[1]House Papers'!$P17)</f>
        <v>0</v>
      </c>
      <c r="J17" s="45">
        <f>IF('[1]House Papers'!$Q17="",0, '[1]House Papers'!$Q17)</f>
        <v>0</v>
      </c>
      <c r="K17" s="45">
        <f>IF('[1]House Papers'!$R17="",0, '[1]House Papers'!$R17)</f>
        <v>0</v>
      </c>
      <c r="L17" s="45">
        <f>IF('[1]House Papers'!$S17="",0, '[1]House Papers'!$S17)</f>
        <v>84.9</v>
      </c>
      <c r="M17" s="45">
        <f>IF('[1]House Papers'!$T17="",0, '[1]House Papers'!$T17)</f>
        <v>0</v>
      </c>
      <c r="N17" s="45">
        <f>IF('[1]House Papers'!$U17="",0, '[1]House Papers'!$U17)</f>
        <v>0</v>
      </c>
      <c r="O17" s="45">
        <f>IF('[1]House Papers'!$V17="",0, '[1]House Papers'!$V17)</f>
        <v>0</v>
      </c>
    </row>
    <row r="18" spans="1:15" x14ac:dyDescent="0.25">
      <c r="A18" s="39" t="str">
        <f>IF('[1]House Papers'!$H18="","", '[1]House Papers'!$H18)</f>
        <v>x</v>
      </c>
      <c r="B18" s="39" t="str">
        <f>IF('[1]House Papers'!$I18="","", '[1]House Papers'!$I18)</f>
        <v/>
      </c>
      <c r="C18" s="39" t="str">
        <f>IF('[1]House Papers'!$J18="","", '[1]House Papers'!$J18)</f>
        <v/>
      </c>
      <c r="D18" s="39" t="str">
        <f>IF('[1]House Papers'!$K18="","", '[1]House Papers'!$K18)</f>
        <v/>
      </c>
      <c r="E18" s="39" t="str">
        <f>IF('[1]House Papers'!$L18="","", '[1]House Papers'!$L18)</f>
        <v>28# Classic Crest Avon Billiant white</v>
      </c>
      <c r="F18" s="45">
        <f>IF('[1]House Papers'!$M18="",0, '[1]House Papers'!$M18)</f>
        <v>0</v>
      </c>
      <c r="G18" s="45">
        <f>IF('[1]House Papers'!$N18="",0, '[1]House Papers'!$N18)</f>
        <v>30.85</v>
      </c>
      <c r="H18" s="45">
        <f>IF('[1]House Papers'!$O18="",0, '[1]House Papers'!$O18)</f>
        <v>0</v>
      </c>
      <c r="I18" s="45">
        <f>IF('[1]House Papers'!$P18="",0, '[1]House Papers'!$P18)</f>
        <v>0</v>
      </c>
      <c r="J18" s="45">
        <f>IF('[1]House Papers'!$Q18="",0, '[1]House Papers'!$Q18)</f>
        <v>0</v>
      </c>
      <c r="K18" s="45">
        <f>IF('[1]House Papers'!$R18="",0, '[1]House Papers'!$R18)</f>
        <v>0</v>
      </c>
      <c r="L18" s="45">
        <f>IF('[1]House Papers'!$S18="",0, '[1]House Papers'!$S18)</f>
        <v>0</v>
      </c>
      <c r="M18" s="45">
        <f>IF('[1]House Papers'!$T18="",0, '[1]House Papers'!$T18)</f>
        <v>0</v>
      </c>
      <c r="N18" s="45">
        <f>IF('[1]House Papers'!$U18="",0, '[1]House Papers'!$U18)</f>
        <v>0</v>
      </c>
      <c r="O18" s="45">
        <f>IF('[1]House Papers'!$V18="",0, '[1]House Papers'!$V18)</f>
        <v>0</v>
      </c>
    </row>
    <row r="19" spans="1:15" x14ac:dyDescent="0.25">
      <c r="A19" s="39" t="str">
        <f>IF('[1]House Papers'!$H19="","", '[1]House Papers'!$H19)</f>
        <v/>
      </c>
      <c r="B19" s="39" t="str">
        <f>IF('[1]House Papers'!$I19="","", '[1]House Papers'!$I19)</f>
        <v/>
      </c>
      <c r="C19" s="39" t="str">
        <f>IF('[1]House Papers'!$J19="","", '[1]House Papers'!$J19)</f>
        <v>x</v>
      </c>
      <c r="D19" s="39" t="str">
        <f>IF('[1]House Papers'!$K19="","", '[1]House Papers'!$K19)</f>
        <v/>
      </c>
      <c r="E19" s="39" t="str">
        <f>IF('[1]House Papers'!$L19="","", '[1]House Papers'!$L19)</f>
        <v>28# Classic Crest Solar white</v>
      </c>
      <c r="F19" s="45">
        <f>IF('[1]House Papers'!$M19="",0, '[1]House Papers'!$M19)</f>
        <v>0</v>
      </c>
      <c r="G19" s="45">
        <f>IF('[1]House Papers'!$N19="",0, '[1]House Papers'!$N19)</f>
        <v>0</v>
      </c>
      <c r="H19" s="45">
        <f>IF('[1]House Papers'!$O19="",0, '[1]House Papers'!$O19)</f>
        <v>0</v>
      </c>
      <c r="I19" s="45">
        <f>IF('[1]House Papers'!$P19="",0, '[1]House Papers'!$P19)</f>
        <v>0</v>
      </c>
      <c r="J19" s="45">
        <f>IF('[1]House Papers'!$Q19="",0, '[1]House Papers'!$Q19)</f>
        <v>0</v>
      </c>
      <c r="K19" s="45">
        <f>IF('[1]House Papers'!$R19="",0, '[1]House Papers'!$R19)</f>
        <v>0</v>
      </c>
      <c r="L19" s="45">
        <f>IF('[1]House Papers'!$S19="",0, '[1]House Papers'!$S19)</f>
        <v>40.85</v>
      </c>
      <c r="M19" s="45">
        <f>IF('[1]House Papers'!$T19="",0, '[1]House Papers'!$T19)</f>
        <v>0</v>
      </c>
      <c r="N19" s="45">
        <f>IF('[1]House Papers'!$U19="",0, '[1]House Papers'!$U19)</f>
        <v>40.85</v>
      </c>
      <c r="O19" s="45">
        <f>IF('[1]House Papers'!$V19="",0, '[1]House Papers'!$V19)</f>
        <v>0</v>
      </c>
    </row>
    <row r="20" spans="1:15" x14ac:dyDescent="0.25">
      <c r="A20" s="39" t="str">
        <f>IF('[1]House Papers'!$H20="","", '[1]House Papers'!$H20)</f>
        <v/>
      </c>
      <c r="B20" s="39" t="str">
        <f>IF('[1]House Papers'!$I20="","", '[1]House Papers'!$I20)</f>
        <v/>
      </c>
      <c r="C20" s="39" t="str">
        <f>IF('[1]House Papers'!$J20="","", '[1]House Papers'!$J20)</f>
        <v/>
      </c>
      <c r="D20" s="39" t="str">
        <f>IF('[1]House Papers'!$K20="","", '[1]House Papers'!$K20)</f>
        <v/>
      </c>
      <c r="E20" s="39" t="str">
        <f>IF('[1]House Papers'!$L20="","", '[1]House Papers'!$L20)</f>
        <v>80# Xpri Digital Velvet text</v>
      </c>
      <c r="F20" s="45">
        <f>IF('[1]House Papers'!$M20="",0, '[1]House Papers'!$M20)</f>
        <v>0</v>
      </c>
      <c r="G20" s="45">
        <f>IF('[1]House Papers'!$N20="",0, '[1]House Papers'!$N20)</f>
        <v>0</v>
      </c>
      <c r="H20" s="45">
        <f>IF('[1]House Papers'!$O20="",0, '[1]House Papers'!$O20)</f>
        <v>0</v>
      </c>
      <c r="I20" s="45">
        <f>IF('[1]House Papers'!$P20="",0, '[1]House Papers'!$P20)</f>
        <v>0</v>
      </c>
      <c r="J20" s="45">
        <f>IF('[1]House Papers'!$Q20="",0, '[1]House Papers'!$Q20)</f>
        <v>0</v>
      </c>
      <c r="K20" s="45">
        <f>IF('[1]House Papers'!$R20="",0, '[1]House Papers'!$R20)</f>
        <v>0</v>
      </c>
      <c r="L20" s="45">
        <f>IF('[1]House Papers'!$S20="",0, '[1]House Papers'!$S20)</f>
        <v>0</v>
      </c>
      <c r="M20" s="45">
        <f>IF('[1]House Papers'!$T20="",0, '[1]House Papers'!$T20)</f>
        <v>0</v>
      </c>
      <c r="N20" s="45">
        <f>IF('[1]House Papers'!$U20="",0, '[1]House Papers'!$U20)</f>
        <v>69.599999999999994</v>
      </c>
      <c r="O20" s="45">
        <f>IF('[1]House Papers'!$V20="",0, '[1]House Papers'!$V20)</f>
        <v>0</v>
      </c>
    </row>
    <row r="21" spans="1:15" x14ac:dyDescent="0.25">
      <c r="A21" s="39" t="str">
        <f>IF('[1]House Papers'!$H21="","", '[1]House Papers'!$H21)</f>
        <v/>
      </c>
      <c r="B21" s="39" t="str">
        <f>IF('[1]House Papers'!$I21="","", '[1]House Papers'!$I21)</f>
        <v>x</v>
      </c>
      <c r="C21" s="39" t="str">
        <f>IF('[1]House Papers'!$J21="","", '[1]House Papers'!$J21)</f>
        <v>x</v>
      </c>
      <c r="D21" s="39" t="str">
        <f>IF('[1]House Papers'!$K21="","", '[1]House Papers'!$K21)</f>
        <v/>
      </c>
      <c r="E21" s="39" t="str">
        <f>IF('[1]House Papers'!$L21="","", '[1]House Papers'!$L21)</f>
        <v>32# Mohawk bright white</v>
      </c>
      <c r="F21" s="45">
        <f>IF('[1]House Papers'!$M21="",0, '[1]House Papers'!$M21)</f>
        <v>0</v>
      </c>
      <c r="G21" s="45">
        <f>IF('[1]House Papers'!$N21="",0, '[1]House Papers'!$N21)</f>
        <v>0</v>
      </c>
      <c r="H21" s="45">
        <f>IF('[1]House Papers'!$O21="",0, '[1]House Papers'!$O21)</f>
        <v>0</v>
      </c>
      <c r="I21" s="45">
        <f>IF('[1]House Papers'!$P21="",0, '[1]House Papers'!$P21)</f>
        <v>0</v>
      </c>
      <c r="J21" s="45">
        <f>IF('[1]House Papers'!$Q21="",0, '[1]House Papers'!$Q21)</f>
        <v>0</v>
      </c>
      <c r="K21" s="45">
        <f>IF('[1]House Papers'!$R21="",0, '[1]House Papers'!$R21)</f>
        <v>0</v>
      </c>
      <c r="L21" s="45">
        <f>IF('[1]House Papers'!$S21="",0, '[1]House Papers'!$S21)</f>
        <v>47.86</v>
      </c>
      <c r="M21" s="45">
        <f>IF('[1]House Papers'!$T21="",0, '[1]House Papers'!$T21)</f>
        <v>0</v>
      </c>
      <c r="N21" s="45">
        <f>IF('[1]House Papers'!$U21="",0, '[1]House Papers'!$U21)</f>
        <v>65.5</v>
      </c>
      <c r="O21" s="45">
        <f>IF('[1]House Papers'!$V21="",0, '[1]House Papers'!$V21)</f>
        <v>0</v>
      </c>
    </row>
    <row r="22" spans="1:15" x14ac:dyDescent="0.25">
      <c r="A22" s="39" t="str">
        <f>IF('[1]House Papers'!$H22="","", '[1]House Papers'!$H22)</f>
        <v/>
      </c>
      <c r="B22" s="39" t="str">
        <f>IF('[1]House Papers'!$I22="","", '[1]House Papers'!$I22)</f>
        <v>x</v>
      </c>
      <c r="C22" s="39" t="str">
        <f>IF('[1]House Papers'!$J22="","", '[1]House Papers'!$J22)</f>
        <v>x</v>
      </c>
      <c r="D22" s="39" t="str">
        <f>IF('[1]House Papers'!$K22="","", '[1]House Papers'!$K22)</f>
        <v>x</v>
      </c>
      <c r="E22" s="39" t="str">
        <f>IF('[1]House Papers'!$L22="","", '[1]House Papers'!$L22)</f>
        <v>80# Sterling gloss text</v>
      </c>
      <c r="F22" s="45">
        <f>IF('[1]House Papers'!$M22="",0, '[1]House Papers'!$M22)</f>
        <v>0</v>
      </c>
      <c r="G22" s="45">
        <f>IF('[1]House Papers'!$N22="",0, '[1]House Papers'!$N22)</f>
        <v>0</v>
      </c>
      <c r="H22" s="45">
        <f>IF('[1]House Papers'!$O22="",0, '[1]House Papers'!$O22)</f>
        <v>0</v>
      </c>
      <c r="I22" s="45">
        <f>IF('[1]House Papers'!$P22="",0, '[1]House Papers'!$P22)</f>
        <v>0</v>
      </c>
      <c r="J22" s="45">
        <f>IF('[1]House Papers'!$Q22="",0, '[1]House Papers'!$Q22)</f>
        <v>0</v>
      </c>
      <c r="K22" s="45">
        <f>IF('[1]House Papers'!$R22="",0, '[1]House Papers'!$R22)</f>
        <v>0</v>
      </c>
      <c r="L22" s="45">
        <f>IF('[1]House Papers'!$S22="",0, '[1]House Papers'!$S22)</f>
        <v>33.43</v>
      </c>
      <c r="M22" s="45">
        <f>IF('[1]House Papers'!$T22="",0, '[1]House Papers'!$T22)</f>
        <v>0</v>
      </c>
      <c r="N22" s="45">
        <f>IF('[1]House Papers'!$U22="",0, '[1]House Papers'!$U22)</f>
        <v>42.46</v>
      </c>
      <c r="O22" s="45">
        <f>IF('[1]House Papers'!$V22="",0, '[1]House Papers'!$V22)</f>
        <v>49.53</v>
      </c>
    </row>
    <row r="23" spans="1:15" x14ac:dyDescent="0.25">
      <c r="A23" s="39" t="str">
        <f>IF('[1]House Papers'!$H23="","", '[1]House Papers'!$H23)</f>
        <v/>
      </c>
      <c r="B23" s="39" t="str">
        <f>IF('[1]House Papers'!$I23="","", '[1]House Papers'!$I23)</f>
        <v/>
      </c>
      <c r="C23" s="39" t="str">
        <f>IF('[1]House Papers'!$J23="","", '[1]House Papers'!$J23)</f>
        <v>x</v>
      </c>
      <c r="D23" s="39" t="str">
        <f>IF('[1]House Papers'!$K23="","", '[1]House Papers'!$K23)</f>
        <v/>
      </c>
      <c r="E23" s="39" t="str">
        <f>IF('[1]House Papers'!$L23="","", '[1]House Papers'!$L23)</f>
        <v>100# Sterling gloss text</v>
      </c>
      <c r="F23" s="45">
        <f>IF('[1]House Papers'!$M23="",0, '[1]House Papers'!$M23)</f>
        <v>0</v>
      </c>
      <c r="G23" s="45">
        <f>IF('[1]House Papers'!$N23="",0, '[1]House Papers'!$N23)</f>
        <v>0</v>
      </c>
      <c r="H23" s="45">
        <f>IF('[1]House Papers'!$O23="",0, '[1]House Papers'!$O23)</f>
        <v>0</v>
      </c>
      <c r="I23" s="45">
        <f>IF('[1]House Papers'!$P23="",0, '[1]House Papers'!$P23)</f>
        <v>0</v>
      </c>
      <c r="J23" s="45">
        <f>IF('[1]House Papers'!$Q23="",0, '[1]House Papers'!$Q23)</f>
        <v>0</v>
      </c>
      <c r="K23" s="45">
        <f>IF('[1]House Papers'!$R23="",0, '[1]House Papers'!$R23)</f>
        <v>0</v>
      </c>
      <c r="L23" s="45">
        <f>IF('[1]House Papers'!$S23="",0, '[1]House Papers'!$S23)</f>
        <v>0</v>
      </c>
      <c r="M23" s="45">
        <f>IF('[1]House Papers'!$T23="",0, '[1]House Papers'!$T23)</f>
        <v>0</v>
      </c>
      <c r="N23" s="45">
        <f>IF('[1]House Papers'!$U23="",0, '[1]House Papers'!$U23)</f>
        <v>53.07</v>
      </c>
      <c r="O23" s="45">
        <f>IF('[1]House Papers'!$V23="",0, '[1]House Papers'!$V23)</f>
        <v>0</v>
      </c>
    </row>
    <row r="24" spans="1:15" x14ac:dyDescent="0.25">
      <c r="A24" s="39" t="str">
        <f>IF('[1]House Papers'!$H24="","", '[1]House Papers'!$H24)</f>
        <v/>
      </c>
      <c r="B24" s="39" t="str">
        <f>IF('[1]House Papers'!$I24="","", '[1]House Papers'!$I24)</f>
        <v/>
      </c>
      <c r="C24" s="39" t="str">
        <f>IF('[1]House Papers'!$J24="","", '[1]House Papers'!$J24)</f>
        <v>x</v>
      </c>
      <c r="D24" s="39" t="str">
        <f>IF('[1]House Papers'!$K24="","", '[1]House Papers'!$K24)</f>
        <v/>
      </c>
      <c r="E24" s="39" t="str">
        <f>IF('[1]House Papers'!$L24="","", '[1]House Papers'!$L24)</f>
        <v>100# Finch Digital Opaque</v>
      </c>
      <c r="F24" s="45">
        <f>IF('[1]House Papers'!$M24="",0, '[1]House Papers'!$M24)</f>
        <v>0</v>
      </c>
      <c r="G24" s="45">
        <f>IF('[1]House Papers'!$N24="",0, '[1]House Papers'!$N24)</f>
        <v>0</v>
      </c>
      <c r="H24" s="45">
        <f>IF('[1]House Papers'!$O24="",0, '[1]House Papers'!$O24)</f>
        <v>0</v>
      </c>
      <c r="I24" s="45">
        <f>IF('[1]House Papers'!$P24="",0, '[1]House Papers'!$P24)</f>
        <v>0</v>
      </c>
      <c r="J24" s="45">
        <f>IF('[1]House Papers'!$Q24="",0, '[1]House Papers'!$Q24)</f>
        <v>0</v>
      </c>
      <c r="K24" s="45">
        <f>IF('[1]House Papers'!$R24="",0, '[1]House Papers'!$R24)</f>
        <v>0</v>
      </c>
      <c r="L24" s="45">
        <f>IF('[1]House Papers'!$S24="",0, '[1]House Papers'!$S24)</f>
        <v>0</v>
      </c>
      <c r="M24" s="45">
        <f>IF('[1]House Papers'!$T24="",0, '[1]House Papers'!$T24)</f>
        <v>0</v>
      </c>
      <c r="N24" s="45">
        <f>IF('[1]House Papers'!$U24="",0, '[1]House Papers'!$U24)</f>
        <v>65.37</v>
      </c>
      <c r="O24" s="45">
        <f>IF('[1]House Papers'!$V24="",0, '[1]House Papers'!$V24)</f>
        <v>0</v>
      </c>
    </row>
    <row r="25" spans="1:15" x14ac:dyDescent="0.25">
      <c r="A25" s="39" t="str">
        <f>IF('[1]House Papers'!$H25="","", '[1]House Papers'!$H25)</f>
        <v/>
      </c>
      <c r="B25" s="39" t="str">
        <f>IF('[1]House Papers'!$I25="","", '[1]House Papers'!$I25)</f>
        <v/>
      </c>
      <c r="C25" s="39" t="str">
        <f>IF('[1]House Papers'!$J25="","", '[1]House Papers'!$J25)</f>
        <v>x</v>
      </c>
      <c r="D25" s="39" t="str">
        <f>IF('[1]House Papers'!$K25="","", '[1]House Papers'!$K25)</f>
        <v/>
      </c>
      <c r="E25" s="39" t="str">
        <f>IF('[1]House Papers'!$L25="","", '[1]House Papers'!$L25)</f>
        <v>100# Finch Fine ID</v>
      </c>
      <c r="F25" s="45">
        <f>IF('[1]House Papers'!$M25="",0, '[1]House Papers'!$M25)</f>
        <v>0</v>
      </c>
      <c r="G25" s="45">
        <f>IF('[1]House Papers'!$N25="",0, '[1]House Papers'!$N25)</f>
        <v>0</v>
      </c>
      <c r="H25" s="45">
        <f>IF('[1]House Papers'!$O25="",0, '[1]House Papers'!$O25)</f>
        <v>0</v>
      </c>
      <c r="I25" s="45">
        <f>IF('[1]House Papers'!$P25="",0, '[1]House Papers'!$P25)</f>
        <v>0</v>
      </c>
      <c r="J25" s="45">
        <f>IF('[1]House Papers'!$Q25="",0, '[1]House Papers'!$Q25)</f>
        <v>0</v>
      </c>
      <c r="K25" s="45">
        <f>IF('[1]House Papers'!$R25="",0, '[1]House Papers'!$R25)</f>
        <v>0</v>
      </c>
      <c r="L25" s="45">
        <f>IF('[1]House Papers'!$S25="",0, '[1]House Papers'!$S25)</f>
        <v>0</v>
      </c>
      <c r="M25" s="45">
        <f>IF('[1]House Papers'!$T25="",0, '[1]House Papers'!$T25)</f>
        <v>0</v>
      </c>
      <c r="N25" s="45">
        <f>IF('[1]House Papers'!$U25="",0, '[1]House Papers'!$U25)</f>
        <v>65.25</v>
      </c>
      <c r="O25" s="45">
        <f>IF('[1]House Papers'!$V25="",0, '[1]House Papers'!$V25)</f>
        <v>0</v>
      </c>
    </row>
    <row r="26" spans="1:15" x14ac:dyDescent="0.25">
      <c r="A26" s="301" t="str">
        <f>IF('[1]House Papers'!$H26="","", '[1]House Papers'!$H26)</f>
        <v/>
      </c>
      <c r="B26" s="302" t="str">
        <f>IF('[1]House Papers'!$I26="","", '[1]House Papers'!$I26)</f>
        <v/>
      </c>
      <c r="C26" s="301" t="str">
        <f>IF('[1]House Papers'!$J26="","", '[1]House Papers'!$J26)</f>
        <v/>
      </c>
      <c r="D26" s="302" t="str">
        <f>IF('[1]House Papers'!$K26="","", '[1]House Papers'!$K26)</f>
        <v/>
      </c>
      <c r="E26" s="39" t="str">
        <f>IF('[1]House Papers'!$L26="","", '[1]House Papers'!$L26)</f>
        <v/>
      </c>
      <c r="F26" s="45">
        <f>IF('[1]House Papers'!$M26="",0, '[1]House Papers'!$M26)</f>
        <v>0</v>
      </c>
      <c r="G26" s="45">
        <f>IF('[1]House Papers'!$N26="",0, '[1]House Papers'!$N26)</f>
        <v>0</v>
      </c>
      <c r="H26" s="45">
        <f>IF('[1]House Papers'!$O26="",0, '[1]House Papers'!$O26)</f>
        <v>0</v>
      </c>
      <c r="I26" s="45">
        <f>IF('[1]House Papers'!$P26="",0, '[1]House Papers'!$P26)</f>
        <v>0</v>
      </c>
      <c r="J26" s="45">
        <f>IF('[1]House Papers'!$Q26="",0, '[1]House Papers'!$Q26)</f>
        <v>0</v>
      </c>
      <c r="K26" s="45">
        <f>IF('[1]House Papers'!$R26="",0, '[1]House Papers'!$R26)</f>
        <v>0</v>
      </c>
      <c r="L26" s="45">
        <f>IF('[1]House Papers'!$S26="",0, '[1]House Papers'!$S26)</f>
        <v>0</v>
      </c>
      <c r="M26" s="45">
        <f>IF('[1]House Papers'!$T26="",0, '[1]House Papers'!$T26)</f>
        <v>0</v>
      </c>
      <c r="N26" s="45">
        <f>IF('[1]House Papers'!$U26="",0, '[1]House Papers'!$U26)</f>
        <v>0</v>
      </c>
      <c r="O26" s="45">
        <f>IF('[1]House Papers'!$V26="",0, '[1]House Papers'!$V26)</f>
        <v>0</v>
      </c>
    </row>
    <row r="27" spans="1:15" x14ac:dyDescent="0.25">
      <c r="A27" s="39" t="str">
        <f>IF('[1]House Papers'!$H27="","", '[1]House Papers'!$H27)</f>
        <v/>
      </c>
      <c r="B27" s="39" t="str">
        <f>IF('[1]House Papers'!$I27="","", '[1]House Papers'!$I27)</f>
        <v>x</v>
      </c>
      <c r="C27" s="39" t="str">
        <f>IF('[1]House Papers'!$J27="","", '[1]House Papers'!$J27)</f>
        <v/>
      </c>
      <c r="D27" s="39" t="str">
        <f>IF('[1]House Papers'!$K27="","", '[1]House Papers'!$K27)</f>
        <v/>
      </c>
      <c r="E27" s="39" t="str">
        <f>IF('[1]House Papers'!$L27="","", '[1]House Papers'!$L27)</f>
        <v>67# Springhill Vellum  Bristol white</v>
      </c>
      <c r="F27" s="45">
        <f>IF('[1]House Papers'!$M27="",0, '[1]House Papers'!$M27)</f>
        <v>0</v>
      </c>
      <c r="G27" s="45">
        <f>IF('[1]House Papers'!$N27="",0, '[1]House Papers'!$N27)</f>
        <v>0</v>
      </c>
      <c r="H27" s="45">
        <f>IF('[1]House Papers'!$O27="",0, '[1]House Papers'!$O27)</f>
        <v>0</v>
      </c>
      <c r="I27" s="45">
        <f>IF('[1]House Papers'!$P27="",0, '[1]House Papers'!$P27)</f>
        <v>0</v>
      </c>
      <c r="J27" s="45">
        <f>IF('[1]House Papers'!$Q27="",0, '[1]House Papers'!$Q27)</f>
        <v>0</v>
      </c>
      <c r="K27" s="45">
        <f>IF('[1]House Papers'!$R27="",0, '[1]House Papers'!$R27)</f>
        <v>0</v>
      </c>
      <c r="L27" s="45">
        <f>IF('[1]House Papers'!$S27="",0, '[1]House Papers'!$S27)</f>
        <v>31.75</v>
      </c>
      <c r="M27" s="45">
        <f>IF('[1]House Papers'!$T27="",0, '[1]House Papers'!$T27)</f>
        <v>0</v>
      </c>
      <c r="N27" s="45">
        <f>IF('[1]House Papers'!$U27="",0, '[1]House Papers'!$U27)</f>
        <v>0</v>
      </c>
      <c r="O27" s="45">
        <f>IF('[1]House Papers'!$V27="",0, '[1]House Papers'!$V27)</f>
        <v>0</v>
      </c>
    </row>
    <row r="28" spans="1:15" x14ac:dyDescent="0.25">
      <c r="A28" s="39" t="str">
        <f>IF('[1]House Papers'!$H28="","", '[1]House Papers'!$H28)</f>
        <v/>
      </c>
      <c r="B28" s="39" t="str">
        <f>IF('[1]House Papers'!$I28="","", '[1]House Papers'!$I28)</f>
        <v>x</v>
      </c>
      <c r="C28" s="39" t="str">
        <f>IF('[1]House Papers'!$J28="","", '[1]House Papers'!$J28)</f>
        <v/>
      </c>
      <c r="D28" s="39" t="str">
        <f>IF('[1]House Papers'!$K28="","", '[1]House Papers'!$K28)</f>
        <v/>
      </c>
      <c r="E28" s="39" t="str">
        <f>IF('[1]House Papers'!$L28="","", '[1]House Papers'!$L28)</f>
        <v>67# Springhill Vellum Bristol colors</v>
      </c>
      <c r="F28" s="45">
        <f>IF('[1]House Papers'!$M28="",0, '[1]House Papers'!$M28)</f>
        <v>0</v>
      </c>
      <c r="G28" s="45">
        <f>IF('[1]House Papers'!$N28="",0, '[1]House Papers'!$N28)</f>
        <v>0</v>
      </c>
      <c r="H28" s="45">
        <f>IF('[1]House Papers'!$O28="",0, '[1]House Papers'!$O28)</f>
        <v>0</v>
      </c>
      <c r="I28" s="45">
        <f>IF('[1]House Papers'!$P28="",0, '[1]House Papers'!$P28)</f>
        <v>0</v>
      </c>
      <c r="J28" s="45">
        <f>IF('[1]House Papers'!$Q28="",0, '[1]House Papers'!$Q28)</f>
        <v>0</v>
      </c>
      <c r="K28" s="45">
        <f>IF('[1]House Papers'!$R28="",0, '[1]House Papers'!$R28)</f>
        <v>0</v>
      </c>
      <c r="L28" s="45">
        <f>IF('[1]House Papers'!$S28="",0, '[1]House Papers'!$S28)</f>
        <v>51.75</v>
      </c>
      <c r="M28" s="45">
        <f>IF('[1]House Papers'!$T28="",0, '[1]House Papers'!$T28)</f>
        <v>0</v>
      </c>
      <c r="N28" s="45">
        <f>IF('[1]House Papers'!$U28="",0, '[1]House Papers'!$U28)</f>
        <v>0</v>
      </c>
      <c r="O28" s="45">
        <f>IF('[1]House Papers'!$V28="",0, '[1]House Papers'!$V28)</f>
        <v>0</v>
      </c>
    </row>
    <row r="29" spans="1:15" x14ac:dyDescent="0.25">
      <c r="A29" s="39" t="str">
        <f>IF('[1]House Papers'!$H29="","", '[1]House Papers'!$H29)</f>
        <v/>
      </c>
      <c r="B29" s="39" t="str">
        <f>IF('[1]House Papers'!$I29="","", '[1]House Papers'!$I29)</f>
        <v>x</v>
      </c>
      <c r="C29" s="39" t="str">
        <f>IF('[1]House Papers'!$J29="","", '[1]House Papers'!$J29)</f>
        <v>x</v>
      </c>
      <c r="D29" s="39" t="str">
        <f>IF('[1]House Papers'!$K29="","", '[1]House Papers'!$K29)</f>
        <v/>
      </c>
      <c r="E29" s="39" t="str">
        <f>IF('[1]House Papers'!$L29="","", '[1]House Papers'!$L29)</f>
        <v>80# Accent Opaque smooth cover</v>
      </c>
      <c r="F29" s="45">
        <f>IF('[1]House Papers'!$M29="",0, '[1]House Papers'!$M29)</f>
        <v>0</v>
      </c>
      <c r="G29" s="45">
        <f>IF('[1]House Papers'!$N29="",0, '[1]House Papers'!$N29)</f>
        <v>0</v>
      </c>
      <c r="H29" s="45">
        <f>IF('[1]House Papers'!$O29="",0, '[1]House Papers'!$O29)</f>
        <v>0</v>
      </c>
      <c r="I29" s="45">
        <f>IF('[1]House Papers'!$P29="",0, '[1]House Papers'!$P29)</f>
        <v>0</v>
      </c>
      <c r="J29" s="45">
        <f>IF('[1]House Papers'!$Q29="",0, '[1]House Papers'!$Q29)</f>
        <v>0</v>
      </c>
      <c r="K29" s="45">
        <f>IF('[1]House Papers'!$R29="",0, '[1]House Papers'!$R29)</f>
        <v>0</v>
      </c>
      <c r="L29" s="45">
        <f>IF('[1]House Papers'!$S29="",0, '[1]House Papers'!$S29)</f>
        <v>43.05</v>
      </c>
      <c r="M29" s="45">
        <f>IF('[1]House Papers'!$T29="",0, '[1]House Papers'!$T29)</f>
        <v>0</v>
      </c>
      <c r="N29" s="45">
        <f>IF('[1]House Papers'!$U29="",0, '[1]House Papers'!$U29)</f>
        <v>118.1</v>
      </c>
      <c r="O29" s="45">
        <f>IF('[1]House Papers'!$V29="",0, '[1]House Papers'!$V29)</f>
        <v>0</v>
      </c>
    </row>
    <row r="30" spans="1:15" x14ac:dyDescent="0.25">
      <c r="A30" s="39" t="str">
        <f>IF('[1]House Papers'!$H30="","", '[1]House Papers'!$H30)</f>
        <v/>
      </c>
      <c r="B30" s="39" t="str">
        <f>IF('[1]House Papers'!$I30="","", '[1]House Papers'!$I30)</f>
        <v>x</v>
      </c>
      <c r="C30" s="39" t="str">
        <f>IF('[1]House Papers'!$J30="","", '[1]House Papers'!$J30)</f>
        <v>x</v>
      </c>
      <c r="D30" s="39" t="str">
        <f>IF('[1]House Papers'!$K30="","", '[1]House Papers'!$K30)</f>
        <v>x</v>
      </c>
      <c r="E30" s="39" t="str">
        <f>IF('[1]House Papers'!$L30="","", '[1]House Papers'!$L30)</f>
        <v>80# Accent Opaque Super Smooth</v>
      </c>
      <c r="F30" s="45">
        <f>IF('[1]House Papers'!$M30="",0, '[1]House Papers'!$M30)</f>
        <v>0</v>
      </c>
      <c r="G30" s="45">
        <f>IF('[1]House Papers'!$N30="",0, '[1]House Papers'!$N30)</f>
        <v>0</v>
      </c>
      <c r="H30" s="45">
        <f>IF('[1]House Papers'!$O30="",0, '[1]House Papers'!$O30)</f>
        <v>0</v>
      </c>
      <c r="I30" s="45">
        <f>IF('[1]House Papers'!$P30="",0, '[1]House Papers'!$P30)</f>
        <v>0</v>
      </c>
      <c r="J30" s="45">
        <f>IF('[1]House Papers'!$Q30="",0, '[1]House Papers'!$Q30)</f>
        <v>0</v>
      </c>
      <c r="K30" s="45">
        <f>IF('[1]House Papers'!$R30="",0, '[1]House Papers'!$R30)</f>
        <v>0</v>
      </c>
      <c r="L30" s="45">
        <f>IF('[1]House Papers'!$S30="",0, '[1]House Papers'!$S30)</f>
        <v>118.1</v>
      </c>
      <c r="M30" s="45">
        <f>IF('[1]House Papers'!$T30="",0, '[1]House Papers'!$T30)</f>
        <v>0</v>
      </c>
      <c r="N30" s="45">
        <f>IF('[1]House Papers'!$U30="",0, '[1]House Papers'!$U30)</f>
        <v>142.30000000000001</v>
      </c>
      <c r="O30" s="45">
        <f>IF('[1]House Papers'!$V30="",0, '[1]House Papers'!$V30)</f>
        <v>0</v>
      </c>
    </row>
    <row r="31" spans="1:15" x14ac:dyDescent="0.25">
      <c r="A31" s="39" t="str">
        <f>IF('[1]House Papers'!$H31="","", '[1]House Papers'!$H31)</f>
        <v/>
      </c>
      <c r="B31" s="39" t="str">
        <f>IF('[1]House Papers'!$I31="","", '[1]House Papers'!$I31)</f>
        <v/>
      </c>
      <c r="C31" s="39" t="str">
        <f>IF('[1]House Papers'!$J31="","", '[1]House Papers'!$J31)</f>
        <v>x</v>
      </c>
      <c r="D31" s="39" t="str">
        <f>IF('[1]House Papers'!$K31="","", '[1]House Papers'!$K31)</f>
        <v/>
      </c>
      <c r="E31" s="39" t="str">
        <f>IF('[1]House Papers'!$L31="","", '[1]House Papers'!$L31)</f>
        <v>60# Hammermill Color Copy cover</v>
      </c>
      <c r="F31" s="45">
        <f>IF('[1]House Papers'!$M31="",0, '[1]House Papers'!$M31)</f>
        <v>0</v>
      </c>
      <c r="G31" s="45">
        <f>IF('[1]House Papers'!$N31="",0, '[1]House Papers'!$N31)</f>
        <v>0</v>
      </c>
      <c r="H31" s="45">
        <f>IF('[1]House Papers'!$O31="",0, '[1]House Papers'!$O31)</f>
        <v>0</v>
      </c>
      <c r="I31" s="45">
        <f>IF('[1]House Papers'!$P31="",0, '[1]House Papers'!$P31)</f>
        <v>0</v>
      </c>
      <c r="J31" s="45">
        <f>IF('[1]House Papers'!$Q31="",0, '[1]House Papers'!$Q31)</f>
        <v>0</v>
      </c>
      <c r="K31" s="45">
        <f>IF('[1]House Papers'!$R31="",0, '[1]House Papers'!$R31)</f>
        <v>0</v>
      </c>
      <c r="L31" s="45">
        <f>IF('[1]House Papers'!$S31="",0, '[1]House Papers'!$S31)</f>
        <v>0</v>
      </c>
      <c r="M31" s="45">
        <f>IF('[1]House Papers'!$T31="",0, '[1]House Papers'!$T31)</f>
        <v>0</v>
      </c>
      <c r="N31" s="45">
        <f>IF('[1]House Papers'!$U31="",0, '[1]House Papers'!$U31)</f>
        <v>47</v>
      </c>
      <c r="O31" s="45">
        <f>IF('[1]House Papers'!$V31="",0, '[1]House Papers'!$V31)</f>
        <v>0</v>
      </c>
    </row>
    <row r="32" spans="1:15" x14ac:dyDescent="0.25">
      <c r="A32" s="39" t="str">
        <f>IF('[1]House Papers'!$H32="","", '[1]House Papers'!$H32)</f>
        <v/>
      </c>
      <c r="B32" s="39" t="str">
        <f>IF('[1]House Papers'!$I32="","", '[1]House Papers'!$I32)</f>
        <v/>
      </c>
      <c r="C32" s="39" t="str">
        <f>IF('[1]House Papers'!$J32="","", '[1]House Papers'!$J32)</f>
        <v/>
      </c>
      <c r="D32" s="39" t="str">
        <f>IF('[1]House Papers'!$K32="","", '[1]House Papers'!$K32)</f>
        <v/>
      </c>
      <c r="E32" s="39" t="str">
        <f>IF('[1]House Papers'!$L32="","", '[1]House Papers'!$L32)</f>
        <v>80# Classic Crest Natural White cover</v>
      </c>
      <c r="F32" s="45">
        <f>IF('[1]House Papers'!$M32="",0, '[1]House Papers'!$M32)</f>
        <v>0</v>
      </c>
      <c r="G32" s="45">
        <f>IF('[1]House Papers'!$N32="",0, '[1]House Papers'!$N32)</f>
        <v>0</v>
      </c>
      <c r="H32" s="45">
        <f>IF('[1]House Papers'!$O32="",0, '[1]House Papers'!$O32)</f>
        <v>0</v>
      </c>
      <c r="I32" s="45">
        <f>IF('[1]House Papers'!$P32="",0, '[1]House Papers'!$P32)</f>
        <v>0</v>
      </c>
      <c r="J32" s="45">
        <f>IF('[1]House Papers'!$Q32="",0, '[1]House Papers'!$Q32)</f>
        <v>0</v>
      </c>
      <c r="K32" s="45">
        <f>IF('[1]House Papers'!$R32="",0, '[1]House Papers'!$R32)</f>
        <v>0</v>
      </c>
      <c r="L32" s="45">
        <f>IF('[1]House Papers'!$S32="",0, '[1]House Papers'!$S32)</f>
        <v>0</v>
      </c>
      <c r="M32" s="45">
        <f>IF('[1]House Papers'!$T32="",0, '[1]House Papers'!$T32)</f>
        <v>0</v>
      </c>
      <c r="N32" s="45">
        <f>IF('[1]House Papers'!$U32="",0, '[1]House Papers'!$U32)</f>
        <v>40.75</v>
      </c>
      <c r="O32" s="45">
        <f>IF('[1]House Papers'!$V32="",0, '[1]House Papers'!$V32)</f>
        <v>0</v>
      </c>
    </row>
    <row r="33" spans="1:15" x14ac:dyDescent="0.25">
      <c r="A33" s="39" t="str">
        <f>IF('[1]House Papers'!$H33="","", '[1]House Papers'!$H33)</f>
        <v/>
      </c>
      <c r="B33" s="39" t="str">
        <f>IF('[1]House Papers'!$I33="","", '[1]House Papers'!$I33)</f>
        <v/>
      </c>
      <c r="C33" s="39" t="str">
        <f>IF('[1]House Papers'!$J33="","", '[1]House Papers'!$J33)</f>
        <v>x</v>
      </c>
      <c r="D33" s="39" t="str">
        <f>IF('[1]House Papers'!$K33="","", '[1]House Papers'!$K33)</f>
        <v>x</v>
      </c>
      <c r="E33" s="39" t="str">
        <f>IF('[1]House Papers'!$L33="","", '[1]House Papers'!$L33)</f>
        <v xml:space="preserve">80# Sterling gloss cover </v>
      </c>
      <c r="F33" s="45">
        <f>IF('[1]House Papers'!$M33="",0, '[1]House Papers'!$M33)</f>
        <v>0</v>
      </c>
      <c r="G33" s="45">
        <f>IF('[1]House Papers'!$N33="",0, '[1]House Papers'!$N33)</f>
        <v>0</v>
      </c>
      <c r="H33" s="45">
        <f>IF('[1]House Papers'!$O33="",0, '[1]House Papers'!$O33)</f>
        <v>0</v>
      </c>
      <c r="I33" s="45">
        <f>IF('[1]House Papers'!$P33="",0, '[1]House Papers'!$P33)</f>
        <v>0</v>
      </c>
      <c r="J33" s="45">
        <f>IF('[1]House Papers'!$Q33="",0, '[1]House Papers'!$Q33)</f>
        <v>0</v>
      </c>
      <c r="K33" s="45">
        <f>IF('[1]House Papers'!$R33="",0, '[1]House Papers'!$R33)</f>
        <v>0</v>
      </c>
      <c r="L33" s="45">
        <f>IF('[1]House Papers'!$S33="",0, '[1]House Papers'!$S33)</f>
        <v>0</v>
      </c>
      <c r="M33" s="45">
        <f>IF('[1]House Papers'!$T33="",0, '[1]House Papers'!$T33)</f>
        <v>0</v>
      </c>
      <c r="N33" s="45">
        <f>IF('[1]House Papers'!$U33="",0, '[1]House Papers'!$U33)</f>
        <v>68.94</v>
      </c>
      <c r="O33" s="45">
        <f>IF('[1]House Papers'!$V33="",0, '[1]House Papers'!$V33)</f>
        <v>83.96</v>
      </c>
    </row>
    <row r="34" spans="1:15" x14ac:dyDescent="0.25">
      <c r="A34" s="39" t="str">
        <f>IF('[1]House Papers'!$H34="","", '[1]House Papers'!$H34)</f>
        <v/>
      </c>
      <c r="B34" s="39" t="str">
        <f>IF('[1]House Papers'!$I34="","", '[1]House Papers'!$I34)</f>
        <v/>
      </c>
      <c r="C34" s="39" t="str">
        <f>IF('[1]House Papers'!$J34="","", '[1]House Papers'!$J34)</f>
        <v>x</v>
      </c>
      <c r="D34" s="39" t="str">
        <f>IF('[1]House Papers'!$K34="","", '[1]House Papers'!$K34)</f>
        <v>x</v>
      </c>
      <c r="E34" s="39" t="str">
        <f>IF('[1]House Papers'!$L34="","", '[1]House Papers'!$L34)</f>
        <v xml:space="preserve">100# Sterling gloss cover </v>
      </c>
      <c r="F34" s="45">
        <f>IF('[1]House Papers'!$M34="",0, '[1]House Papers'!$M34)</f>
        <v>0</v>
      </c>
      <c r="G34" s="45">
        <f>IF('[1]House Papers'!$N34="",0, '[1]House Papers'!$N34)</f>
        <v>0</v>
      </c>
      <c r="H34" s="45">
        <f>IF('[1]House Papers'!$O34="",0, '[1]House Papers'!$O34)</f>
        <v>0</v>
      </c>
      <c r="I34" s="45">
        <f>IF('[1]House Papers'!$P34="",0, '[1]House Papers'!$P34)</f>
        <v>0</v>
      </c>
      <c r="J34" s="45">
        <f>IF('[1]House Papers'!$Q34="",0, '[1]House Papers'!$Q34)</f>
        <v>0</v>
      </c>
      <c r="K34" s="45">
        <f>IF('[1]House Papers'!$R34="",0, '[1]House Papers'!$R34)</f>
        <v>0</v>
      </c>
      <c r="L34" s="45">
        <f>IF('[1]House Papers'!$S34="",0, '[1]House Papers'!$S34)</f>
        <v>0</v>
      </c>
      <c r="M34" s="45">
        <f>IF('[1]House Papers'!$T34="",0, '[1]House Papers'!$T34)</f>
        <v>0</v>
      </c>
      <c r="N34" s="45">
        <f>IF('[1]House Papers'!$U34="",0, '[1]House Papers'!$U34)</f>
        <v>91.71</v>
      </c>
      <c r="O34" s="45">
        <f>IF('[1]House Papers'!$V34="",0, '[1]House Papers'!$V34)</f>
        <v>104.96</v>
      </c>
    </row>
    <row r="35" spans="1:15" x14ac:dyDescent="0.25">
      <c r="A35" s="39" t="str">
        <f>IF('[1]House Papers'!$H35="","", '[1]House Papers'!$H35)</f>
        <v/>
      </c>
      <c r="B35" s="39" t="str">
        <f>IF('[1]House Papers'!$I35="","", '[1]House Papers'!$I35)</f>
        <v/>
      </c>
      <c r="C35" s="39" t="str">
        <f>IF('[1]House Papers'!$J35="","", '[1]House Papers'!$J35)</f>
        <v>x</v>
      </c>
      <c r="D35" s="39" t="str">
        <f>IF('[1]House Papers'!$K35="","", '[1]House Papers'!$K35)</f>
        <v>x</v>
      </c>
      <c r="E35" s="39" t="str">
        <f>IF('[1]House Papers'!$L35="","", '[1]House Papers'!$L35)</f>
        <v xml:space="preserve">120# Sterling gloss cover </v>
      </c>
      <c r="F35" s="45">
        <f>IF('[1]House Papers'!$M35="",0, '[1]House Papers'!$M35)</f>
        <v>0</v>
      </c>
      <c r="G35" s="45">
        <f>IF('[1]House Papers'!$N35="",0, '[1]House Papers'!$N35)</f>
        <v>0</v>
      </c>
      <c r="H35" s="45">
        <f>IF('[1]House Papers'!$O35="",0, '[1]House Papers'!$O35)</f>
        <v>0</v>
      </c>
      <c r="I35" s="45">
        <f>IF('[1]House Papers'!$P35="",0, '[1]House Papers'!$P35)</f>
        <v>0</v>
      </c>
      <c r="J35" s="45">
        <f>IF('[1]House Papers'!$Q35="",0, '[1]House Papers'!$Q35)</f>
        <v>0</v>
      </c>
      <c r="K35" s="45">
        <f>IF('[1]House Papers'!$R35="",0, '[1]House Papers'!$R35)</f>
        <v>0</v>
      </c>
      <c r="L35" s="45">
        <f>IF('[1]House Papers'!$S35="",0, '[1]House Papers'!$S35)</f>
        <v>0</v>
      </c>
      <c r="M35" s="45">
        <f>IF('[1]House Papers'!$T35="",0, '[1]House Papers'!$T35)</f>
        <v>0</v>
      </c>
      <c r="N35" s="45">
        <f>IF('[1]House Papers'!$U35="",0, '[1]House Papers'!$U35)</f>
        <v>120.85</v>
      </c>
      <c r="O35" s="45">
        <f>IF('[1]House Papers'!$V35="",0, '[1]House Papers'!$V35)</f>
        <v>137.77000000000001</v>
      </c>
    </row>
    <row r="36" spans="1:15" x14ac:dyDescent="0.25">
      <c r="A36" s="39" t="str">
        <f>IF('[1]House Papers'!$H36="","", '[1]House Papers'!$H36)</f>
        <v/>
      </c>
      <c r="B36" s="39" t="str">
        <f>IF('[1]House Papers'!$I36="","", '[1]House Papers'!$I36)</f>
        <v/>
      </c>
      <c r="C36" s="39" t="str">
        <f>IF('[1]House Papers'!$J36="","", '[1]House Papers'!$J36)</f>
        <v>x</v>
      </c>
      <c r="D36" s="39" t="str">
        <f>IF('[1]House Papers'!$K36="","", '[1]House Papers'!$K36)</f>
        <v>x</v>
      </c>
      <c r="E36" s="39" t="str">
        <f>IF('[1]House Papers'!$L36="","", '[1]House Papers'!$L36)</f>
        <v xml:space="preserve">80# Sterling dull cover </v>
      </c>
      <c r="F36" s="45">
        <f>IF('[1]House Papers'!$M36="",0, '[1]House Papers'!$M36)</f>
        <v>0</v>
      </c>
      <c r="G36" s="45">
        <f>IF('[1]House Papers'!$N36="",0, '[1]House Papers'!$N36)</f>
        <v>0</v>
      </c>
      <c r="H36" s="45">
        <f>IF('[1]House Papers'!$O36="",0, '[1]House Papers'!$O36)</f>
        <v>0</v>
      </c>
      <c r="I36" s="45">
        <f>IF('[1]House Papers'!$P36="",0, '[1]House Papers'!$P36)</f>
        <v>0</v>
      </c>
      <c r="J36" s="45">
        <f>IF('[1]House Papers'!$Q36="",0, '[1]House Papers'!$Q36)</f>
        <v>0</v>
      </c>
      <c r="K36" s="45">
        <f>IF('[1]House Papers'!$R36="",0, '[1]House Papers'!$R36)</f>
        <v>0</v>
      </c>
      <c r="L36" s="45">
        <f>IF('[1]House Papers'!$S36="",0, '[1]House Papers'!$S36)</f>
        <v>70.09</v>
      </c>
      <c r="M36" s="45">
        <f>IF('[1]House Papers'!$T36="",0, '[1]House Papers'!$T36)</f>
        <v>0</v>
      </c>
      <c r="N36" s="45">
        <f>IF('[1]House Papers'!$U36="",0, '[1]House Papers'!$U36)</f>
        <v>79.760000000000005</v>
      </c>
      <c r="O36" s="45">
        <f>IF('[1]House Papers'!$V36="",0, '[1]House Papers'!$V36)</f>
        <v>91.84</v>
      </c>
    </row>
    <row r="37" spans="1:15" x14ac:dyDescent="0.25">
      <c r="A37" s="39" t="str">
        <f>IF('[1]House Papers'!$H37="","", '[1]House Papers'!$H37)</f>
        <v/>
      </c>
      <c r="B37" s="39" t="str">
        <f>IF('[1]House Papers'!$I37="","", '[1]House Papers'!$I37)</f>
        <v/>
      </c>
      <c r="C37" s="39" t="str">
        <f>IF('[1]House Papers'!$J37="","", '[1]House Papers'!$J37)</f>
        <v>x</v>
      </c>
      <c r="D37" s="39" t="str">
        <f>IF('[1]House Papers'!$K37="","", '[1]House Papers'!$K37)</f>
        <v>x</v>
      </c>
      <c r="E37" s="39" t="str">
        <f>IF('[1]House Papers'!$L37="","", '[1]House Papers'!$L37)</f>
        <v xml:space="preserve">100# Sterling dull cover </v>
      </c>
      <c r="F37" s="45">
        <f>IF('[1]House Papers'!$M37="",0, '[1]House Papers'!$M37)</f>
        <v>0</v>
      </c>
      <c r="G37" s="45">
        <f>IF('[1]House Papers'!$N37="",0, '[1]House Papers'!$N37)</f>
        <v>0</v>
      </c>
      <c r="H37" s="45">
        <f>IF('[1]House Papers'!$O37="",0, '[1]House Papers'!$O37)</f>
        <v>0</v>
      </c>
      <c r="I37" s="45">
        <f>IF('[1]House Papers'!$P37="",0, '[1]House Papers'!$P37)</f>
        <v>0</v>
      </c>
      <c r="J37" s="45">
        <f>IF('[1]House Papers'!$Q37="",0, '[1]House Papers'!$Q37)</f>
        <v>0</v>
      </c>
      <c r="K37" s="45">
        <f>IF('[1]House Papers'!$R37="",0, '[1]House Papers'!$R37)</f>
        <v>0</v>
      </c>
      <c r="L37" s="45">
        <f>IF('[1]House Papers'!$S37="",0, '[1]House Papers'!$S37)</f>
        <v>87.01</v>
      </c>
      <c r="M37" s="45">
        <f>IF('[1]House Papers'!$T37="",0, '[1]House Papers'!$T37)</f>
        <v>0</v>
      </c>
      <c r="N37" s="45">
        <f>IF('[1]House Papers'!$U37="",0, '[1]House Papers'!$U37)</f>
        <v>91.71</v>
      </c>
      <c r="O37" s="45">
        <f>IF('[1]House Papers'!$V37="",0, '[1]House Papers'!$V37)</f>
        <v>104.96</v>
      </c>
    </row>
    <row r="38" spans="1:15" x14ac:dyDescent="0.25">
      <c r="A38" s="39" t="str">
        <f>IF('[1]House Papers'!$H38="","", '[1]House Papers'!$H38)</f>
        <v/>
      </c>
      <c r="B38" s="39" t="str">
        <f>IF('[1]House Papers'!$I38="","", '[1]House Papers'!$I38)</f>
        <v/>
      </c>
      <c r="C38" s="39" t="str">
        <f>IF('[1]House Papers'!$J38="","", '[1]House Papers'!$J38)</f>
        <v>x</v>
      </c>
      <c r="D38" s="39" t="str">
        <f>IF('[1]House Papers'!$K38="","", '[1]House Papers'!$K38)</f>
        <v>x</v>
      </c>
      <c r="E38" s="39" t="str">
        <f>IF('[1]House Papers'!$L38="","", '[1]House Papers'!$L38)</f>
        <v xml:space="preserve">120# Sterling dull cover </v>
      </c>
      <c r="F38" s="45">
        <f>IF('[1]House Papers'!$M38="",0, '[1]House Papers'!$M38)</f>
        <v>0</v>
      </c>
      <c r="G38" s="45">
        <f>IF('[1]House Papers'!$N38="",0, '[1]House Papers'!$N38)</f>
        <v>0</v>
      </c>
      <c r="H38" s="45">
        <f>IF('[1]House Papers'!$O38="",0, '[1]House Papers'!$O38)</f>
        <v>0</v>
      </c>
      <c r="I38" s="45">
        <f>IF('[1]House Papers'!$P38="",0, '[1]House Papers'!$P38)</f>
        <v>0</v>
      </c>
      <c r="J38" s="45">
        <f>IF('[1]House Papers'!$Q38="",0, '[1]House Papers'!$Q38)</f>
        <v>0</v>
      </c>
      <c r="K38" s="45">
        <f>IF('[1]House Papers'!$R38="",0, '[1]House Papers'!$R38)</f>
        <v>0</v>
      </c>
      <c r="L38" s="45">
        <f>IF('[1]House Papers'!$S38="",0, '[1]House Papers'!$S38)</f>
        <v>0</v>
      </c>
      <c r="M38" s="45">
        <f>IF('[1]House Papers'!$T38="",0, '[1]House Papers'!$T38)</f>
        <v>0</v>
      </c>
      <c r="N38" s="45">
        <f>IF('[1]House Papers'!$U38="",0, '[1]House Papers'!$U38)</f>
        <v>120.85</v>
      </c>
      <c r="O38" s="45">
        <f>IF('[1]House Papers'!$V38="",0, '[1]House Papers'!$V38)</f>
        <v>125.95</v>
      </c>
    </row>
    <row r="39" spans="1:15" x14ac:dyDescent="0.25">
      <c r="A39" s="39" t="str">
        <f>IF('[1]House Papers'!$H39="","", '[1]House Papers'!$H39)</f>
        <v/>
      </c>
      <c r="B39" s="39" t="str">
        <f>IF('[1]House Papers'!$I39="","", '[1]House Papers'!$I39)</f>
        <v/>
      </c>
      <c r="C39" s="39" t="str">
        <f>IF('[1]House Papers'!$J39="","", '[1]House Papers'!$J39)</f>
        <v/>
      </c>
      <c r="D39" s="39" t="str">
        <f>IF('[1]House Papers'!$K39="","", '[1]House Papers'!$K39)</f>
        <v>x</v>
      </c>
      <c r="E39" s="39" t="str">
        <f>IF('[1]House Papers'!$L39="","", '[1]House Papers'!$L39)</f>
        <v>80# Chorus Art Silk cover</v>
      </c>
      <c r="F39" s="45">
        <f>IF('[1]House Papers'!$M39="",0, '[1]House Papers'!$M39)</f>
        <v>0</v>
      </c>
      <c r="G39" s="45">
        <f>IF('[1]House Papers'!$N39="",0, '[1]House Papers'!$N39)</f>
        <v>0</v>
      </c>
      <c r="H39" s="45">
        <f>IF('[1]House Papers'!$O39="",0, '[1]House Papers'!$O39)</f>
        <v>0</v>
      </c>
      <c r="I39" s="45">
        <f>IF('[1]House Papers'!$P39="",0, '[1]House Papers'!$P39)</f>
        <v>0</v>
      </c>
      <c r="J39" s="45">
        <f>IF('[1]House Papers'!$Q39="",0, '[1]House Papers'!$Q39)</f>
        <v>0</v>
      </c>
      <c r="K39" s="45">
        <f>IF('[1]House Papers'!$R39="",0, '[1]House Papers'!$R39)</f>
        <v>0</v>
      </c>
      <c r="L39" s="45">
        <f>IF('[1]House Papers'!$S39="",0, '[1]House Papers'!$S39)</f>
        <v>0</v>
      </c>
      <c r="M39" s="45">
        <f>IF('[1]House Papers'!$T39="",0, '[1]House Papers'!$T39)</f>
        <v>0</v>
      </c>
      <c r="N39" s="45">
        <f>IF('[1]House Papers'!$U39="",0, '[1]House Papers'!$U39)</f>
        <v>162.25</v>
      </c>
      <c r="O39" s="45">
        <f>IF('[1]House Papers'!$V39="",0, '[1]House Papers'!$V39)</f>
        <v>102.45</v>
      </c>
    </row>
    <row r="40" spans="1:15" x14ac:dyDescent="0.25">
      <c r="A40" s="39" t="str">
        <f>IF('[1]House Papers'!$H40="","", '[1]House Papers'!$H40)</f>
        <v/>
      </c>
      <c r="B40" s="39" t="str">
        <f>IF('[1]House Papers'!$I40="","", '[1]House Papers'!$I40)</f>
        <v/>
      </c>
      <c r="C40" s="39" t="str">
        <f>IF('[1]House Papers'!$J40="","", '[1]House Papers'!$J40)</f>
        <v>x</v>
      </c>
      <c r="D40" s="39" t="str">
        <f>IF('[1]House Papers'!$K40="","", '[1]House Papers'!$K40)</f>
        <v>x</v>
      </c>
      <c r="E40" s="39" t="str">
        <f>IF('[1]House Papers'!$L40="","", '[1]House Papers'!$L40)</f>
        <v>10 pt C1S</v>
      </c>
      <c r="F40" s="45">
        <f>IF('[1]House Papers'!$M40="",0, '[1]House Papers'!$M40)</f>
        <v>0</v>
      </c>
      <c r="G40" s="45">
        <f>IF('[1]House Papers'!$N40="",0, '[1]House Papers'!$N40)</f>
        <v>0</v>
      </c>
      <c r="H40" s="45">
        <f>IF('[1]House Papers'!$O40="",0, '[1]House Papers'!$O40)</f>
        <v>0</v>
      </c>
      <c r="I40" s="45">
        <f>IF('[1]House Papers'!$P40="",0, '[1]House Papers'!$P40)</f>
        <v>0</v>
      </c>
      <c r="J40" s="45">
        <f>IF('[1]House Papers'!$Q40="",0, '[1]House Papers'!$Q40)</f>
        <v>0</v>
      </c>
      <c r="K40" s="45">
        <f>IF('[1]House Papers'!$R40="",0, '[1]House Papers'!$R40)</f>
        <v>0</v>
      </c>
      <c r="L40" s="45">
        <f>IF('[1]House Papers'!$S40="",0, '[1]House Papers'!$S40)</f>
        <v>0</v>
      </c>
      <c r="M40" s="45">
        <f>IF('[1]House Papers'!$T40="",0, '[1]House Papers'!$T40)</f>
        <v>0</v>
      </c>
      <c r="N40" s="45">
        <f>IF('[1]House Papers'!$U40="",0, '[1]House Papers'!$U40)</f>
        <v>79.38</v>
      </c>
      <c r="O40" s="45">
        <f>IF('[1]House Papers'!$V40="",0, '[1]House Papers'!$V40)</f>
        <v>92.41</v>
      </c>
    </row>
    <row r="41" spans="1:15" x14ac:dyDescent="0.25">
      <c r="A41" s="39" t="str">
        <f>IF('[1]House Papers'!$H41="","", '[1]House Papers'!$H41)</f>
        <v/>
      </c>
      <c r="B41" s="39" t="str">
        <f>IF('[1]House Papers'!$I41="","", '[1]House Papers'!$I41)</f>
        <v/>
      </c>
      <c r="C41" s="39" t="str">
        <f>IF('[1]House Papers'!$J41="","", '[1]House Papers'!$J41)</f>
        <v>x</v>
      </c>
      <c r="D41" s="39" t="str">
        <f>IF('[1]House Papers'!$K41="","", '[1]House Papers'!$K41)</f>
        <v>x</v>
      </c>
      <c r="E41" s="39" t="str">
        <f>IF('[1]House Papers'!$L41="","", '[1]House Papers'!$L41)</f>
        <v>12 pt C1S</v>
      </c>
      <c r="F41" s="45">
        <f>IF('[1]House Papers'!$M41="",0, '[1]House Papers'!$M41)</f>
        <v>0</v>
      </c>
      <c r="G41" s="45">
        <f>IF('[1]House Papers'!$N41="",0, '[1]House Papers'!$N41)</f>
        <v>0</v>
      </c>
      <c r="H41" s="45">
        <f>IF('[1]House Papers'!$O41="",0, '[1]House Papers'!$O41)</f>
        <v>0</v>
      </c>
      <c r="I41" s="45">
        <f>IF('[1]House Papers'!$P41="",0, '[1]House Papers'!$P41)</f>
        <v>0</v>
      </c>
      <c r="J41" s="45">
        <f>IF('[1]House Papers'!$Q41="",0, '[1]House Papers'!$Q41)</f>
        <v>0</v>
      </c>
      <c r="K41" s="45">
        <f>IF('[1]House Papers'!$R41="",0, '[1]House Papers'!$R41)</f>
        <v>0</v>
      </c>
      <c r="L41" s="45">
        <f>IF('[1]House Papers'!$S41="",0, '[1]House Papers'!$S41)</f>
        <v>0</v>
      </c>
      <c r="M41" s="45">
        <f>IF('[1]House Papers'!$T41="",0, '[1]House Papers'!$T41)</f>
        <v>0</v>
      </c>
      <c r="N41" s="45">
        <f>IF('[1]House Papers'!$U41="",0, '[1]House Papers'!$U41)</f>
        <v>86.62</v>
      </c>
      <c r="O41" s="45">
        <f>IF('[1]House Papers'!$V41="",0, '[1]House Papers'!$V41)</f>
        <v>101.24</v>
      </c>
    </row>
    <row r="42" spans="1:15" x14ac:dyDescent="0.25">
      <c r="A42" s="39" t="str">
        <f>IF('[1]House Papers'!$H42="","", '[1]House Papers'!$H42)</f>
        <v/>
      </c>
      <c r="B42" s="39" t="str">
        <f>IF('[1]House Papers'!$I42="","", '[1]House Papers'!$I42)</f>
        <v/>
      </c>
      <c r="C42" s="39" t="str">
        <f>IF('[1]House Papers'!$J42="","", '[1]House Papers'!$J42)</f>
        <v/>
      </c>
      <c r="D42" s="39" t="str">
        <f>IF('[1]House Papers'!$K42="","", '[1]House Papers'!$K42)</f>
        <v/>
      </c>
      <c r="E42" s="39" t="str">
        <f>IF('[1]House Papers'!$L42="","", '[1]House Papers'!$L42)</f>
        <v>Label 1 x 4 (8.5x11)</v>
      </c>
      <c r="F42" s="45">
        <f>IF('[1]House Papers'!$M42="",0, '[1]House Papers'!$M42)</f>
        <v>0</v>
      </c>
      <c r="G42" s="45">
        <f>IF('[1]House Papers'!$N42="",0, '[1]House Papers'!$N42)</f>
        <v>88</v>
      </c>
      <c r="H42" s="45">
        <f>IF('[1]House Papers'!$O42="",0, '[1]House Papers'!$O42)</f>
        <v>0</v>
      </c>
      <c r="I42" s="45">
        <f>IF('[1]House Papers'!$P42="",0, '[1]House Papers'!$P42)</f>
        <v>0</v>
      </c>
      <c r="J42" s="45">
        <f>IF('[1]House Papers'!$Q42="",0, '[1]House Papers'!$Q42)</f>
        <v>0</v>
      </c>
      <c r="K42" s="45">
        <f>IF('[1]House Papers'!$R42="",0, '[1]House Papers'!$R42)</f>
        <v>0</v>
      </c>
      <c r="L42" s="45">
        <f>IF('[1]House Papers'!$S42="",0, '[1]House Papers'!$S42)</f>
        <v>0</v>
      </c>
      <c r="M42" s="45">
        <f>IF('[1]House Papers'!$T42="",0, '[1]House Papers'!$T42)</f>
        <v>0</v>
      </c>
      <c r="N42" s="45">
        <f>IF('[1]House Papers'!$U42="",0, '[1]House Papers'!$U42)</f>
        <v>0</v>
      </c>
      <c r="O42" s="45">
        <f>IF('[1]House Papers'!$V42="",0, '[1]House Papers'!$V42)</f>
        <v>0</v>
      </c>
    </row>
    <row r="43" spans="1:15" x14ac:dyDescent="0.25">
      <c r="A43" s="39" t="str">
        <f>IF('[1]House Papers'!$H43="","", '[1]House Papers'!$H43)</f>
        <v/>
      </c>
      <c r="B43" s="39" t="str">
        <f>IF('[1]House Papers'!$I43="","", '[1]House Papers'!$I43)</f>
        <v/>
      </c>
      <c r="C43" s="39" t="str">
        <f>IF('[1]House Papers'!$J43="","", '[1]House Papers'!$J43)</f>
        <v/>
      </c>
      <c r="D43" s="39" t="str">
        <f>IF('[1]House Papers'!$K43="","", '[1]House Papers'!$K43)</f>
        <v/>
      </c>
      <c r="E43" s="39" t="str">
        <f>IF('[1]House Papers'!$L43="","", '[1]House Papers'!$L43)</f>
        <v>Label 2 x 4 (8.5x11)</v>
      </c>
      <c r="F43" s="45">
        <f>IF('[1]House Papers'!$M43="",0, '[1]House Papers'!$M43)</f>
        <v>0</v>
      </c>
      <c r="G43" s="45">
        <f>IF('[1]House Papers'!$N43="",0, '[1]House Papers'!$N43)</f>
        <v>88</v>
      </c>
      <c r="H43" s="45">
        <f>IF('[1]House Papers'!$O43="",0, '[1]House Papers'!$O43)</f>
        <v>0</v>
      </c>
      <c r="I43" s="45">
        <f>IF('[1]House Papers'!$P43="",0, '[1]House Papers'!$P43)</f>
        <v>0</v>
      </c>
      <c r="J43" s="45">
        <f>IF('[1]House Papers'!$Q43="",0, '[1]House Papers'!$Q43)</f>
        <v>0</v>
      </c>
      <c r="K43" s="45">
        <f>IF('[1]House Papers'!$R43="",0, '[1]House Papers'!$R43)</f>
        <v>0</v>
      </c>
      <c r="L43" s="45">
        <f>IF('[1]House Papers'!$S43="",0, '[1]House Papers'!$S43)</f>
        <v>0</v>
      </c>
      <c r="M43" s="45">
        <f>IF('[1]House Papers'!$T43="",0, '[1]House Papers'!$T43)</f>
        <v>0</v>
      </c>
      <c r="N43" s="45">
        <f>IF('[1]House Papers'!$U43="",0, '[1]House Papers'!$U43)</f>
        <v>0</v>
      </c>
      <c r="O43" s="45">
        <f>IF('[1]House Papers'!$V43="",0, '[1]House Papers'!$V43)</f>
        <v>0</v>
      </c>
    </row>
    <row r="44" spans="1:15" x14ac:dyDescent="0.25">
      <c r="A44" s="39" t="str">
        <f>IF('[1]House Papers'!$H44="","", '[1]House Papers'!$H44)</f>
        <v/>
      </c>
      <c r="B44" s="39" t="str">
        <f>IF('[1]House Papers'!$I44="","", '[1]House Papers'!$I44)</f>
        <v/>
      </c>
      <c r="C44" s="39" t="str">
        <f>IF('[1]House Papers'!$J44="","", '[1]House Papers'!$J44)</f>
        <v/>
      </c>
      <c r="D44" s="39" t="str">
        <f>IF('[1]House Papers'!$K44="","", '[1]House Papers'!$K44)</f>
        <v/>
      </c>
      <c r="E44" s="39" t="str">
        <f>IF('[1]House Papers'!$L44="","", '[1]House Papers'!$L44)</f>
        <v>Label 3.33 x 4 (8.5x11)</v>
      </c>
      <c r="F44" s="45">
        <f>IF('[1]House Papers'!$M44="",0, '[1]House Papers'!$M44)</f>
        <v>0</v>
      </c>
      <c r="G44" s="45">
        <f>IF('[1]House Papers'!$N44="",0, '[1]House Papers'!$N44)</f>
        <v>88</v>
      </c>
      <c r="H44" s="45">
        <f>IF('[1]House Papers'!$O44="",0, '[1]House Papers'!$O44)</f>
        <v>0</v>
      </c>
      <c r="I44" s="45">
        <f>IF('[1]House Papers'!$P44="",0, '[1]House Papers'!$P44)</f>
        <v>0</v>
      </c>
      <c r="J44" s="45">
        <f>IF('[1]House Papers'!$Q44="",0, '[1]House Papers'!$Q44)</f>
        <v>0</v>
      </c>
      <c r="K44" s="45">
        <f>IF('[1]House Papers'!$R44="",0, '[1]House Papers'!$R44)</f>
        <v>0</v>
      </c>
      <c r="L44" s="45">
        <f>IF('[1]House Papers'!$S44="",0, '[1]House Papers'!$S44)</f>
        <v>0</v>
      </c>
      <c r="M44" s="45">
        <f>IF('[1]House Papers'!$T44="",0, '[1]House Papers'!$T44)</f>
        <v>0</v>
      </c>
      <c r="N44" s="45">
        <f>IF('[1]House Papers'!$U44="",0, '[1]House Papers'!$U44)</f>
        <v>0</v>
      </c>
      <c r="O44" s="45">
        <f>IF('[1]House Papers'!$V44="",0, '[1]House Papers'!$V44)</f>
        <v>0</v>
      </c>
    </row>
    <row r="45" spans="1:15" x14ac:dyDescent="0.25">
      <c r="A45" s="39" t="str">
        <f>IF('[1]House Papers'!$H45="","", '[1]House Papers'!$H45)</f>
        <v/>
      </c>
      <c r="B45" s="39" t="str">
        <f>IF('[1]House Papers'!$I45="","", '[1]House Papers'!$I45)</f>
        <v/>
      </c>
      <c r="C45" s="39" t="str">
        <f>IF('[1]House Papers'!$J45="","", '[1]House Papers'!$J45)</f>
        <v/>
      </c>
      <c r="D45" s="39" t="str">
        <f>IF('[1]House Papers'!$K45="","", '[1]House Papers'!$K45)</f>
        <v/>
      </c>
      <c r="E45" s="39" t="str">
        <f>IF('[1]House Papers'!$L45="","", '[1]House Papers'!$L45)</f>
        <v>Label 4 x 5 (8.5x11)</v>
      </c>
      <c r="F45" s="45">
        <f>IF('[1]House Papers'!$M45="",0, '[1]House Papers'!$M45)</f>
        <v>0</v>
      </c>
      <c r="G45" s="45">
        <f>IF('[1]House Papers'!$N45="",0, '[1]House Papers'!$N45)</f>
        <v>88</v>
      </c>
      <c r="H45" s="45">
        <f>IF('[1]House Papers'!$O45="",0, '[1]House Papers'!$O45)</f>
        <v>0</v>
      </c>
      <c r="I45" s="45">
        <f>IF('[1]House Papers'!$P45="",0, '[1]House Papers'!$P45)</f>
        <v>0</v>
      </c>
      <c r="J45" s="45">
        <f>IF('[1]House Papers'!$Q45="",0, '[1]House Papers'!$Q45)</f>
        <v>0</v>
      </c>
      <c r="K45" s="45">
        <f>IF('[1]House Papers'!$R45="",0, '[1]House Papers'!$R45)</f>
        <v>0</v>
      </c>
      <c r="L45" s="45">
        <f>IF('[1]House Papers'!$S45="",0, '[1]House Papers'!$S45)</f>
        <v>0</v>
      </c>
      <c r="M45" s="45">
        <f>IF('[1]House Papers'!$T45="",0, '[1]House Papers'!$T45)</f>
        <v>0</v>
      </c>
      <c r="N45" s="45">
        <f>IF('[1]House Papers'!$U45="",0, '[1]House Papers'!$U45)</f>
        <v>0</v>
      </c>
      <c r="O45" s="45">
        <f>IF('[1]House Papers'!$V45="",0, '[1]House Papers'!$V45)</f>
        <v>0</v>
      </c>
    </row>
  </sheetData>
  <sheetProtection sheet="1" objects="1" scenarios="1"/>
  <protectedRanges>
    <protectedRange password="EEDA" sqref="E3:E45" name="Range6"/>
  </protectedRanges>
  <mergeCells count="4">
    <mergeCell ref="F1:G1"/>
    <mergeCell ref="K1:L1"/>
    <mergeCell ref="M1:N1"/>
    <mergeCell ref="A1:D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DocInfo</vt:lpstr>
      <vt:lpstr>PrintingEnv</vt:lpstr>
      <vt:lpstr>TablesAndCalcsEnv</vt:lpstr>
      <vt:lpstr>Printing</vt:lpstr>
      <vt:lpstr>Pricing</vt:lpstr>
      <vt:lpstr>ClientServices</vt:lpstr>
      <vt:lpstr>DiscountLevels</vt:lpstr>
      <vt:lpstr>TablesAndCalcsPrinting</vt:lpstr>
      <vt:lpstr>HousePapers</vt:lpstr>
      <vt:lpstr>Pricing!Print_Area</vt:lpstr>
      <vt:lpstr>Printing!Print_Area</vt:lpstr>
      <vt:lpstr>PrintingEnv!Print_Area</vt:lpstr>
      <vt:lpstr>TablesAndCalcsEnv!Print_Area</vt:lpstr>
      <vt:lpstr>TablesAndCalcsPrinting!Print_Area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Theresa Glabach</dc:creator>
  <cp:lastModifiedBy>Theresa Glabach</cp:lastModifiedBy>
  <cp:lastPrinted>2018-07-13T15:58:58Z</cp:lastPrinted>
  <dcterms:created xsi:type="dcterms:W3CDTF">2018-06-14T18:56:14Z</dcterms:created>
  <dcterms:modified xsi:type="dcterms:W3CDTF">2019-03-15T20:33:23Z</dcterms:modified>
</cp:coreProperties>
</file>